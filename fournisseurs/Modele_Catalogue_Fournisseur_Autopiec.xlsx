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Fournisseur" sheetId="2" state="visible" r:id="rId4"/>
    <sheet name="Catalogue" sheetId="3" state="visible" r:id="rId5"/>
    <sheet name="Listes" sheetId="4" state="visible" r:id="rId6"/>
  </sheets>
  <definedNames>
    <definedName function="false" hidden="true" localSheetId="2" name="_xlnm._FilterDatabase" vbProcedure="false">Catalogue!$A$1:$U$1001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Marque du fabricant de la pièce (liste ou saisie libre).</t>
        </r>
      </text>
    </comment>
    <comment ref="B1" authorId="0">
      <text>
        <r>
          <rPr>
            <sz val="10"/>
            <rFont val="Arial"/>
            <family val="2"/>
          </rPr>
          <t xml:space="preserve">Référence fabricant exacte, sans espace superflu. Clé unique avec la marque.</t>
        </r>
      </text>
    </comment>
    <comment ref="C1" authorId="0">
      <text>
        <r>
          <rPr>
            <sz val="10"/>
            <rFont val="Arial"/>
            <family val="2"/>
          </rPr>
          <t xml:space="preserve">Libellé clair de la pièce. Ex : Jeu de 4 plaquettes de frein avant.</t>
        </r>
      </text>
    </comment>
    <comment ref="D1" authorId="0">
      <text>
        <r>
          <rPr>
            <sz val="10"/>
            <rFont val="Arial"/>
            <family val="2"/>
          </rPr>
          <t xml:space="preserve">Famille de pièce (liste).</t>
        </r>
      </text>
    </comment>
    <comment ref="E1" authorId="0">
      <text>
        <r>
          <rPr>
            <sz val="10"/>
            <rFont val="Arial"/>
            <family val="2"/>
          </rPr>
          <t xml:space="preserve">Neuf, reconditionné ou occasion.</t>
        </r>
      </text>
    </comment>
    <comment ref="F1" authorId="0">
      <text>
        <r>
          <rPr>
            <sz val="10"/>
            <rFont val="Arial"/>
            <family val="2"/>
          </rPr>
          <t xml:space="preserve">Référence d'origine constructeur (plusieurs possibles, séparées par ; ).</t>
        </r>
      </text>
    </comment>
    <comment ref="G1" authorId="0">
      <text>
        <r>
          <rPr>
            <sz val="10"/>
            <rFont val="Arial"/>
            <family val="2"/>
          </rPr>
          <t xml:space="preserve">Code-barres EAN-13 (13 chiffres), saisi en texte.</t>
        </r>
      </text>
    </comment>
    <comment ref="H1" authorId="0">
      <text>
        <r>
          <rPr>
            <sz val="10"/>
            <rFont val="Arial"/>
            <family val="2"/>
          </rPr>
          <t xml:space="preserve">Marque / modèle / motorisation / années. Ex : Renault Clio IV 1.5 dCi 2012-2019.</t>
        </r>
      </text>
    </comment>
    <comment ref="I1" authorId="0">
      <text>
        <r>
          <rPr>
            <sz val="10"/>
            <rFont val="Arial"/>
            <family val="2"/>
          </rPr>
          <t xml:space="preserve">Pièce, paire, kit, jeu…</t>
        </r>
      </text>
    </comment>
    <comment ref="J1" authorId="0">
      <text>
        <r>
          <rPr>
            <sz val="10"/>
            <rFont val="Arial"/>
            <family val="2"/>
          </rPr>
          <t xml:space="preserve">Prix de vente conseillé au public, hors taxes, en euros.</t>
        </r>
      </text>
    </comment>
    <comment ref="K1" authorId="0">
      <text>
        <r>
          <rPr>
            <sz val="10"/>
            <rFont val="Arial"/>
            <family val="2"/>
          </rPr>
          <t xml:space="preserve">Prix d'achat net consenti à Autopiec, hors taxes, en euros. Doit être ≤ au prix public.</t>
        </r>
      </text>
    </comment>
    <comment ref="L1" authorId="0">
      <text>
        <r>
          <rPr>
            <sz val="10"/>
            <rFont val="Arial"/>
            <family val="2"/>
          </rPr>
          <t xml:space="preserve">CALCULÉ AUTOMATIQUEMENT — ne pas saisir.</t>
        </r>
      </text>
    </comment>
    <comment ref="M1" authorId="0">
      <text>
        <r>
          <rPr>
            <sz val="10"/>
            <rFont val="Arial"/>
            <family val="2"/>
          </rPr>
          <t xml:space="preserve">20 % par défaut si vide.</t>
        </r>
      </text>
    </comment>
    <comment ref="N1" authorId="0">
      <text>
        <r>
          <rPr>
            <sz val="10"/>
            <rFont val="Arial"/>
            <family val="2"/>
          </rPr>
          <t xml:space="preserve">Stock disponible immédiatement (nombre entier ≥ 0).</t>
        </r>
      </text>
    </comment>
    <comment ref="O1" authorId="0">
      <text>
        <r>
          <rPr>
            <sz val="10"/>
            <rFont val="Arial"/>
            <family val="2"/>
          </rPr>
          <t xml:space="preserve">Quantité minimale par commande (entier ≥ 1).</t>
        </r>
      </text>
    </comment>
    <comment ref="P1" authorId="0">
      <text>
        <r>
          <rPr>
            <sz val="10"/>
            <rFont val="Arial"/>
            <family val="2"/>
          </rPr>
          <t xml:space="preserve">Délai entre la commande et l'expédition.</t>
        </r>
      </text>
    </comment>
    <comment ref="Q1" authorId="0">
      <text>
        <r>
          <rPr>
            <sz val="10"/>
            <rFont val="Arial"/>
            <family val="2"/>
          </rPr>
          <t xml:space="preserve">Poids unitaire emballé, en kg (utile au calcul du transport).</t>
        </r>
      </text>
    </comment>
    <comment ref="R1" authorId="0">
      <text>
        <r>
          <rPr>
            <sz val="10"/>
            <rFont val="Arial"/>
            <family val="2"/>
          </rPr>
          <t xml:space="preserve">Durée de garantie en mois.</t>
        </r>
      </text>
    </comment>
    <comment ref="S1" authorId="0">
      <text>
        <r>
          <rPr>
            <sz val="10"/>
            <rFont val="Arial"/>
            <family val="2"/>
          </rPr>
          <t xml:space="preserve">Adresse web d'une photo de la pièce (fond blanc idéalement).</t>
        </r>
      </text>
    </comment>
    <comment ref="T1" authorId="0">
      <text>
        <r>
          <rPr>
            <sz val="10"/>
            <rFont val="Arial"/>
            <family val="2"/>
          </rPr>
          <t xml:space="preserve">Toute information utile.</t>
        </r>
      </text>
    </comment>
    <comment ref="U1" authorId="0">
      <text>
        <r>
          <rPr>
            <sz val="10"/>
            <rFont val="Arial"/>
            <family val="2"/>
          </rPr>
          <t xml:space="preserve">CALCULÉ AUTOMATIQUEMENT — signale les erreurs de la ligne.</t>
        </r>
      </text>
    </comment>
  </commentList>
</comments>
</file>

<file path=xl/sharedStrings.xml><?xml version="1.0" encoding="utf-8"?>
<sst xmlns="http://schemas.openxmlformats.org/spreadsheetml/2006/main" count="123" uniqueCount="120">
  <si>
    <t xml:space="preserve">Catalogue fournisseur — pièces détachées Autopiec</t>
  </si>
  <si>
    <t xml:space="preserve">Merci de compléter ce fichier afin d'intégrer vos références dans notre base de données.</t>
  </si>
  <si>
    <t xml:space="preserve">1. Onglet « Fournisseur » : complétez vos coordonnées (cellules jaunes).</t>
  </si>
  <si>
    <t xml:space="preserve">2. Onglet « Catalogue » : une ligne = une référence. Commencez en ligne 2, sans ligne vide intercalée.</t>
  </si>
  <si>
    <t xml:space="preserve">3. Les colonnes à en-tête ORANGE et marquées * sont obligatoires ; les colonnes BLEUES sont facultatives mais recommandées.</t>
  </si>
  <si>
    <t xml:space="preserve">4. Les colonnes GRISES (Remise, Contrôle) se calculent seules : ne les modifiez pas.</t>
  </si>
  <si>
    <t xml:space="preserve">5. Survolez un en-tête pour afficher l'aide de la colonne. Utilisez les listes déroulantes quand elles existent.</t>
  </si>
  <si>
    <t xml:space="preserve">6. Prix en euros HORS TAXES, saisis en nombre sans symbole (ex : 42,90). Le prix Autopiec doit être ≤ au prix public.</t>
  </si>
  <si>
    <t xml:space="preserve">7. Avant envoi, vérifiez que la colonne « Contrôle » n'affiche que « ✔ OK » (synthèse dans l'onglet Fournisseur).</t>
  </si>
  <si>
    <t xml:space="preserve">8. Ne renommez pas les onglets et ne modifiez pas l'ordre des colonnes (import automatique).</t>
  </si>
  <si>
    <t xml:space="preserve">9. Renvoyez le fichier au format .xlsx, nommé : Catalogue_&lt;NomFournisseur&gt;_&lt;AAAAMMJJ&gt;.xlsx</t>
  </si>
  <si>
    <t xml:space="preserve">Légende des couleurs</t>
  </si>
  <si>
    <t xml:space="preserve">En-tête obligatoire</t>
  </si>
  <si>
    <t xml:space="preserve">En-tête facultatif</t>
  </si>
  <si>
    <t xml:space="preserve">Calcul automatique — ne pas saisir</t>
  </si>
  <si>
    <t xml:space="preserve">Cellule à compléter / champ obligatoire manquant</t>
  </si>
  <si>
    <t xml:space="preserve">Exemple de ligne correctement remplie (onglet Catalogue)</t>
  </si>
  <si>
    <t xml:space="preserve">Marque</t>
  </si>
  <si>
    <t xml:space="preserve">Référence produit</t>
  </si>
  <si>
    <t xml:space="preserve">Désignation</t>
  </si>
  <si>
    <t xml:space="preserve">Catégorie</t>
  </si>
  <si>
    <t xml:space="preserve">État</t>
  </si>
  <si>
    <t xml:space="preserve">Prix public HT</t>
  </si>
  <si>
    <t xml:space="preserve">Prix Autopiec HT</t>
  </si>
  <si>
    <t xml:space="preserve">Bosch</t>
  </si>
  <si>
    <t xml:space="preserve">0 986 494 399</t>
  </si>
  <si>
    <t xml:space="preserve">Jeu de 4 plaquettes de frein avant</t>
  </si>
  <si>
    <t xml:space="preserve">Freinage</t>
  </si>
  <si>
    <t xml:space="preserve">Neuf</t>
  </si>
  <si>
    <t xml:space="preserve">Suite de la ligne : Qté disponible 24 · Réf. OEM 7701208177 · EAN 4047025573389 · Compatibilité Renault Clio IV 1.5 dCi 2012-2019 · TVA 20 % · Délai 2 j · Garantie 24 mois.</t>
  </si>
  <si>
    <t xml:space="preserve">Valeurs d'exemple fictives, données à titre d'illustration du format attendu.</t>
  </si>
  <si>
    <t xml:space="preserve">Informations fournisseur</t>
  </si>
  <si>
    <t xml:space="preserve">Raison sociale *</t>
  </si>
  <si>
    <t xml:space="preserve">N° SIRET *</t>
  </si>
  <si>
    <t xml:space="preserve">N° TVA intracommunautaire</t>
  </si>
  <si>
    <t xml:space="preserve">Contact (nom, prénom) *</t>
  </si>
  <si>
    <t xml:space="preserve">E-mail *</t>
  </si>
  <si>
    <t xml:space="preserve">Téléphone</t>
  </si>
  <si>
    <t xml:space="preserve">Adresse d'expédition</t>
  </si>
  <si>
    <t xml:space="preserve">Conditions de paiement</t>
  </si>
  <si>
    <t xml:space="preserve">Franco de port (€ HT)</t>
  </si>
  <si>
    <t xml:space="preserve">Date de validité des prix *</t>
  </si>
  <si>
    <t xml:space="preserve">Date d'envoi du fichier</t>
  </si>
  <si>
    <t xml:space="preserve">Synthèse du catalogue (calcul automatique)</t>
  </si>
  <si>
    <t xml:space="preserve">Nombre de références saisies</t>
  </si>
  <si>
    <t xml:space="preserve">Lignes valides</t>
  </si>
  <si>
    <t xml:space="preserve">Lignes à corriger</t>
  </si>
  <si>
    <t xml:space="preserve">Remise moyenne accordée</t>
  </si>
  <si>
    <t xml:space="preserve">Valeur du stock au prix Autopiec (€ HT)</t>
  </si>
  <si>
    <t xml:space="preserve">Marque *</t>
  </si>
  <si>
    <t xml:space="preserve">Référence produit *</t>
  </si>
  <si>
    <t xml:space="preserve">Désignation *</t>
  </si>
  <si>
    <t xml:space="preserve">Catégorie *</t>
  </si>
  <si>
    <t xml:space="preserve">État *</t>
  </si>
  <si>
    <t xml:space="preserve">Référence OEM / constructeur</t>
  </si>
  <si>
    <t xml:space="preserve">Code EAN</t>
  </si>
  <si>
    <t xml:space="preserve">Véhicules compatibles</t>
  </si>
  <si>
    <t xml:space="preserve">Unité de vente</t>
  </si>
  <si>
    <t xml:space="preserve">Prix public HT (€) *</t>
  </si>
  <si>
    <t xml:space="preserve">Prix Autopiec HT (€) *</t>
  </si>
  <si>
    <t xml:space="preserve">Remise (%)</t>
  </si>
  <si>
    <t xml:space="preserve">Taux TVA</t>
  </si>
  <si>
    <t xml:space="preserve">Quantité disponible *</t>
  </si>
  <si>
    <t xml:space="preserve">Qté minimum de commande</t>
  </si>
  <si>
    <t xml:space="preserve">Délai de livraison (jours ouvrés)</t>
  </si>
  <si>
    <t xml:space="preserve">Poids (kg)</t>
  </si>
  <si>
    <t xml:space="preserve">Garantie (mois)</t>
  </si>
  <si>
    <t xml:space="preserve">Lien photo (URL)</t>
  </si>
  <si>
    <t xml:space="preserve">Commentaires</t>
  </si>
  <si>
    <t xml:space="preserve">Contrôle</t>
  </si>
  <si>
    <t xml:space="preserve">Marques</t>
  </si>
  <si>
    <t xml:space="preserve">Catégories</t>
  </si>
  <si>
    <t xml:space="preserve">États</t>
  </si>
  <si>
    <t xml:space="preserve">TVA</t>
  </si>
  <si>
    <t xml:space="preserve">Unités</t>
  </si>
  <si>
    <t xml:space="preserve">Listes de référence — vous pouvez compléter la colonne Marques si besoin.</t>
  </si>
  <si>
    <t xml:space="preserve">Pièce</t>
  </si>
  <si>
    <t xml:space="preserve">Valeo</t>
  </si>
  <si>
    <t xml:space="preserve">Filtration</t>
  </si>
  <si>
    <t xml:space="preserve">Reconditionné / Échange standard</t>
  </si>
  <si>
    <t xml:space="preserve">Paire</t>
  </si>
  <si>
    <t xml:space="preserve">Brembo</t>
  </si>
  <si>
    <t xml:space="preserve">Moteur</t>
  </si>
  <si>
    <t xml:space="preserve">Occasion</t>
  </si>
  <si>
    <t xml:space="preserve">Kit</t>
  </si>
  <si>
    <t xml:space="preserve">TRW</t>
  </si>
  <si>
    <t xml:space="preserve">Distribution</t>
  </si>
  <si>
    <t xml:space="preserve">Jeu</t>
  </si>
  <si>
    <t xml:space="preserve">Febi Bilstein</t>
  </si>
  <si>
    <t xml:space="preserve">Embrayage</t>
  </si>
  <si>
    <t xml:space="preserve">Litre</t>
  </si>
  <si>
    <t xml:space="preserve">SKF</t>
  </si>
  <si>
    <t xml:space="preserve">Suspension / Amortisseurs</t>
  </si>
  <si>
    <t xml:space="preserve">Mètre</t>
  </si>
  <si>
    <t xml:space="preserve">Gates</t>
  </si>
  <si>
    <t xml:space="preserve">Direction</t>
  </si>
  <si>
    <t xml:space="preserve">Mann-Filter</t>
  </si>
  <si>
    <t xml:space="preserve">Transmission</t>
  </si>
  <si>
    <t xml:space="preserve">Mahle</t>
  </si>
  <si>
    <t xml:space="preserve">Échappement</t>
  </si>
  <si>
    <t xml:space="preserve">NGK</t>
  </si>
  <si>
    <t xml:space="preserve">Refroidissement</t>
  </si>
  <si>
    <t xml:space="preserve">Denso</t>
  </si>
  <si>
    <t xml:space="preserve">Électricité / Allumage</t>
  </si>
  <si>
    <t xml:space="preserve">Sachs</t>
  </si>
  <si>
    <t xml:space="preserve">Éclairage</t>
  </si>
  <si>
    <t xml:space="preserve">Monroe</t>
  </si>
  <si>
    <t xml:space="preserve">Carrosserie</t>
  </si>
  <si>
    <t xml:space="preserve">LuK</t>
  </si>
  <si>
    <t xml:space="preserve">Climatisation</t>
  </si>
  <si>
    <t xml:space="preserve">Continental</t>
  </si>
  <si>
    <t xml:space="preserve">Huiles &amp; Liquides</t>
  </si>
  <si>
    <t xml:space="preserve">Hella</t>
  </si>
  <si>
    <t xml:space="preserve">Pneumatiques</t>
  </si>
  <si>
    <t xml:space="preserve">Delphi</t>
  </si>
  <si>
    <t xml:space="preserve">Accessoires</t>
  </si>
  <si>
    <t xml:space="preserve">Ferodo</t>
  </si>
  <si>
    <t xml:space="preserve">Autre</t>
  </si>
  <si>
    <t xml:space="preserve">Purflux</t>
  </si>
  <si>
    <t xml:space="preserve">Autre (préciser en commentaire)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</si>
</sst>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€&quot;"/>
    <numFmt numFmtId="166" formatCode="@"/>
    <numFmt numFmtId="167" formatCode="dd/mm/yyyy"/>
    <numFmt numFmtId="168" formatCode="#,##0"/>
    <numFmt numFmtId="169" formatCode="0.0%"/>
    <numFmt numFmtId="170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2"/>
    </font>
    <font>
      <i val="true"/>
      <sz val="11"/>
      <color rgb="FF7F7F7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55A11"/>
        <bgColor rgb="FF993300"/>
      </patternFill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8" min="6" style="0" width="16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B5" s="3" t="s">
        <v>3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3" t="s">
        <v>4</v>
      </c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B7" s="3" t="s">
        <v>5</v>
      </c>
      <c r="C7" s="3"/>
      <c r="D7" s="3"/>
      <c r="E7" s="3"/>
      <c r="F7" s="3"/>
      <c r="G7" s="3"/>
      <c r="H7" s="3"/>
    </row>
    <row r="8" customFormat="false" ht="15" hidden="false" customHeight="false" outlineLevel="0" collapsed="false">
      <c r="B8" s="3" t="s">
        <v>6</v>
      </c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B9" s="3" t="s">
        <v>7</v>
      </c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B10" s="3" t="s">
        <v>8</v>
      </c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B11" s="3" t="s">
        <v>9</v>
      </c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B12" s="3" t="s">
        <v>10</v>
      </c>
      <c r="C12" s="3"/>
      <c r="D12" s="3"/>
      <c r="E12" s="3"/>
      <c r="F12" s="3"/>
      <c r="G12" s="3"/>
      <c r="H12" s="3"/>
    </row>
    <row r="14" customFormat="false" ht="1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5"/>
      <c r="C15" s="6" t="s">
        <v>12</v>
      </c>
    </row>
    <row r="16" customFormat="false" ht="15" hidden="false" customHeight="false" outlineLevel="0" collapsed="false">
      <c r="B16" s="7"/>
      <c r="C16" s="6" t="s">
        <v>13</v>
      </c>
    </row>
    <row r="17" customFormat="false" ht="15" hidden="false" customHeight="false" outlineLevel="0" collapsed="false">
      <c r="B17" s="8"/>
      <c r="C17" s="6" t="s">
        <v>14</v>
      </c>
    </row>
    <row r="18" customFormat="false" ht="15" hidden="false" customHeight="false" outlineLevel="0" collapsed="false">
      <c r="B18" s="9"/>
      <c r="C18" s="6" t="s">
        <v>15</v>
      </c>
    </row>
    <row r="20" customFormat="false" ht="15" hidden="false" customHeight="false" outlineLevel="0" collapsed="false">
      <c r="B20" s="4" t="s">
        <v>16</v>
      </c>
    </row>
    <row r="21" customFormat="false" ht="26.85" hidden="false" customHeight="false" outlineLevel="0" collapsed="false">
      <c r="B21" s="10" t="s">
        <v>17</v>
      </c>
      <c r="C21" s="10" t="s">
        <v>18</v>
      </c>
      <c r="D21" s="10" t="s">
        <v>19</v>
      </c>
      <c r="E21" s="10" t="s">
        <v>20</v>
      </c>
      <c r="F21" s="10" t="s">
        <v>21</v>
      </c>
      <c r="G21" s="10" t="s">
        <v>22</v>
      </c>
      <c r="H21" s="10" t="s">
        <v>23</v>
      </c>
    </row>
    <row r="22" customFormat="false" ht="15" hidden="false" customHeight="false" outlineLevel="0" collapsed="false">
      <c r="B22" s="11" t="s">
        <v>24</v>
      </c>
      <c r="C22" s="11" t="s">
        <v>25</v>
      </c>
      <c r="D22" s="11" t="s">
        <v>26</v>
      </c>
      <c r="E22" s="11" t="s">
        <v>27</v>
      </c>
      <c r="F22" s="11" t="s">
        <v>28</v>
      </c>
      <c r="G22" s="12" t="n">
        <v>58.9</v>
      </c>
      <c r="H22" s="12" t="n">
        <v>41.23</v>
      </c>
    </row>
    <row r="23" customFormat="false" ht="15" hidden="false" customHeight="false" outlineLevel="0" collapsed="false">
      <c r="B23" s="2" t="s">
        <v>29</v>
      </c>
    </row>
    <row r="24" customFormat="false" ht="15" hidden="false" customHeight="false" outlineLevel="0" collapsed="false">
      <c r="B24" s="13" t="s">
        <v>30</v>
      </c>
    </row>
  </sheetData>
  <mergeCells count="9"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5"/>
  </cols>
  <sheetData>
    <row r="1" customFormat="false" ht="17.35" hidden="false" customHeight="false" outlineLevel="0" collapsed="false">
      <c r="A1" s="14" t="s">
        <v>31</v>
      </c>
    </row>
    <row r="3" customFormat="false" ht="15" hidden="false" customHeight="false" outlineLevel="0" collapsed="false">
      <c r="A3" s="15" t="s">
        <v>32</v>
      </c>
      <c r="B3" s="16"/>
    </row>
    <row r="4" customFormat="false" ht="15" hidden="false" customHeight="false" outlineLevel="0" collapsed="false">
      <c r="A4" s="15" t="s">
        <v>33</v>
      </c>
      <c r="B4" s="17"/>
    </row>
    <row r="5" customFormat="false" ht="15" hidden="false" customHeight="false" outlineLevel="0" collapsed="false">
      <c r="A5" s="11" t="s">
        <v>34</v>
      </c>
      <c r="B5" s="16"/>
    </row>
    <row r="6" customFormat="false" ht="15" hidden="false" customHeight="false" outlineLevel="0" collapsed="false">
      <c r="A6" s="15" t="s">
        <v>35</v>
      </c>
      <c r="B6" s="17"/>
    </row>
    <row r="7" customFormat="false" ht="15" hidden="false" customHeight="false" outlineLevel="0" collapsed="false">
      <c r="A7" s="15" t="s">
        <v>36</v>
      </c>
      <c r="B7" s="16"/>
    </row>
    <row r="8" customFormat="false" ht="15" hidden="false" customHeight="false" outlineLevel="0" collapsed="false">
      <c r="A8" s="11" t="s">
        <v>37</v>
      </c>
      <c r="B8" s="16"/>
    </row>
    <row r="9" customFormat="false" ht="15" hidden="false" customHeight="false" outlineLevel="0" collapsed="false">
      <c r="A9" s="11" t="s">
        <v>38</v>
      </c>
      <c r="B9" s="16"/>
    </row>
    <row r="10" customFormat="false" ht="15" hidden="false" customHeight="false" outlineLevel="0" collapsed="false">
      <c r="A10" s="11" t="s">
        <v>39</v>
      </c>
      <c r="B10" s="16"/>
    </row>
    <row r="11" customFormat="false" ht="15" hidden="false" customHeight="false" outlineLevel="0" collapsed="false">
      <c r="A11" s="11" t="s">
        <v>40</v>
      </c>
      <c r="B11" s="18"/>
    </row>
    <row r="12" customFormat="false" ht="15" hidden="false" customHeight="false" outlineLevel="0" collapsed="false">
      <c r="A12" s="15" t="s">
        <v>41</v>
      </c>
      <c r="B12" s="19"/>
    </row>
    <row r="13" customFormat="false" ht="15" hidden="false" customHeight="false" outlineLevel="0" collapsed="false">
      <c r="A13" s="11" t="s">
        <v>42</v>
      </c>
      <c r="B13" s="19"/>
    </row>
    <row r="16" customFormat="false" ht="15" hidden="false" customHeight="false" outlineLevel="0" collapsed="false">
      <c r="A16" s="20" t="s">
        <v>43</v>
      </c>
    </row>
    <row r="17" customFormat="false" ht="15" hidden="false" customHeight="false" outlineLevel="0" collapsed="false">
      <c r="A17" s="11" t="s">
        <v>44</v>
      </c>
      <c r="B17" s="21" t="n">
        <f aca="false">COUNTIF(Catalogue!U2:U1001,"?*")</f>
        <v>0</v>
      </c>
    </row>
    <row r="18" customFormat="false" ht="15" hidden="false" customHeight="false" outlineLevel="0" collapsed="false">
      <c r="A18" s="11" t="s">
        <v>45</v>
      </c>
      <c r="B18" s="21" t="n">
        <f aca="false">COUNTIF(Catalogue!U2:U1001,"✔*")</f>
        <v>0</v>
      </c>
    </row>
    <row r="19" customFormat="false" ht="15" hidden="false" customHeight="false" outlineLevel="0" collapsed="false">
      <c r="A19" s="11" t="s">
        <v>46</v>
      </c>
      <c r="B19" s="21" t="n">
        <f aca="false">COUNTIF(Catalogue!U2:U1001,"⚠*")</f>
        <v>0</v>
      </c>
    </row>
    <row r="20" customFormat="false" ht="15" hidden="false" customHeight="false" outlineLevel="0" collapsed="false">
      <c r="A20" s="11" t="s">
        <v>47</v>
      </c>
      <c r="B20" s="22" t="n">
        <f aca="false">IFERROR(AVERAGE(Catalogue!L2:L1001),0)</f>
        <v>0</v>
      </c>
    </row>
    <row r="21" customFormat="false" ht="15" hidden="false" customHeight="false" outlineLevel="0" collapsed="false">
      <c r="A21" s="11" t="s">
        <v>48</v>
      </c>
      <c r="B21" s="23" t="n">
        <f aca="false">SUMPRODUCT(N(+Catalogue!K2:K1001),N(+Catalogue!N2:N1001))</f>
        <v>0</v>
      </c>
    </row>
  </sheetData>
  <conditionalFormatting sqref="B19">
    <cfRule type="expression" priority="2" aboveAverage="0" equalAverage="0" bottom="0" percent="0" rank="0" text="" dxfId="0">
      <formula>B19&gt;0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U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14"/>
    <col collapsed="false" customWidth="true" hidden="false" outlineLevel="0" max="11" min="10" style="0" width="15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8" min="17" style="0" width="11"/>
    <col collapsed="false" customWidth="true" hidden="false" outlineLevel="0" max="20" min="19" style="0" width="28"/>
    <col collapsed="false" customWidth="true" hidden="false" outlineLevel="0" max="21" min="21" style="0" width="30"/>
  </cols>
  <sheetData>
    <row r="1" customFormat="false" ht="45" hidden="false" customHeight="true" outlineLevel="0" collapsed="false">
      <c r="A1" s="24" t="s">
        <v>49</v>
      </c>
      <c r="B1" s="24" t="s">
        <v>50</v>
      </c>
      <c r="C1" s="24" t="s">
        <v>51</v>
      </c>
      <c r="D1" s="24" t="s">
        <v>52</v>
      </c>
      <c r="E1" s="24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4" t="s">
        <v>58</v>
      </c>
      <c r="K1" s="24" t="s">
        <v>59</v>
      </c>
      <c r="L1" s="26" t="s">
        <v>60</v>
      </c>
      <c r="M1" s="25" t="s">
        <v>61</v>
      </c>
      <c r="N1" s="24" t="s">
        <v>62</v>
      </c>
      <c r="O1" s="25" t="s">
        <v>63</v>
      </c>
      <c r="P1" s="25" t="s">
        <v>64</v>
      </c>
      <c r="Q1" s="25" t="s">
        <v>65</v>
      </c>
      <c r="R1" s="25" t="s">
        <v>66</v>
      </c>
      <c r="S1" s="25" t="s">
        <v>67</v>
      </c>
      <c r="T1" s="25" t="s">
        <v>68</v>
      </c>
      <c r="U1" s="26" t="s">
        <v>69</v>
      </c>
    </row>
    <row r="2" customFormat="false" ht="15" hidden="false" customHeight="false" outlineLevel="0" collapsed="false">
      <c r="A2" s="11"/>
      <c r="B2" s="27"/>
      <c r="C2" s="11"/>
      <c r="D2" s="11"/>
      <c r="E2" s="11"/>
      <c r="F2" s="27"/>
      <c r="G2" s="27"/>
      <c r="H2" s="11"/>
      <c r="I2" s="11"/>
      <c r="J2" s="12"/>
      <c r="K2" s="12"/>
      <c r="L2" s="28" t="str">
        <f aca="false">IF(AND(ISNUMBER(J2),ISNUMBER(K2),N(J2)&gt;0),1-K2/J2,"")</f>
        <v/>
      </c>
      <c r="M2" s="29"/>
      <c r="N2" s="30"/>
      <c r="O2" s="30"/>
      <c r="P2" s="11"/>
      <c r="Q2" s="31"/>
      <c r="R2" s="11"/>
      <c r="S2" s="11"/>
      <c r="T2" s="11"/>
      <c r="U2" s="32" t="str">
        <f aca="false">IF((LEN(A2)+LEN(B2)+LEN(C2)+LEN(D2)+LEN(E2)+LEN(F2)+LEN(G2)+LEN(H2)+LEN(I2)+LEN(J2)+LEN(K2)+LEN(M2)+LEN(N2)+LEN(O2)+LEN(P2)+LEN(Q2)+LEN(R2)+LEN(S2)+LEN(T2))=0,"",IF(OR(A2="",B2="",C2="",D2="",E2="",J2="",K2="",N2=""),"⚠ Champ obligatoire manquant",IF(AND(ISNUMBER(K2),ISNUMBER(J2),N(K2)&gt;N(J2)),"⚠ Prix Autopiec &gt; prix public",IF(COUNTIFS($A$2:$A$1001,A2,$B$2:$B$1001,B2)&gt;1,"⚠ Référence en double","✔ OK"))))</f>
        <v/>
      </c>
    </row>
    <row r="3" customFormat="false" ht="15" hidden="false" customHeight="false" outlineLevel="0" collapsed="false">
      <c r="A3" s="11"/>
      <c r="B3" s="27"/>
      <c r="C3" s="11"/>
      <c r="D3" s="11"/>
      <c r="E3" s="11"/>
      <c r="F3" s="27"/>
      <c r="G3" s="27"/>
      <c r="H3" s="11"/>
      <c r="I3" s="11"/>
      <c r="J3" s="12"/>
      <c r="K3" s="12"/>
      <c r="L3" s="28" t="str">
        <f aca="false">IF(AND(ISNUMBER(J3),ISNUMBER(K3),N(J3)&gt;0),1-K3/J3,"")</f>
        <v/>
      </c>
      <c r="M3" s="29"/>
      <c r="N3" s="30"/>
      <c r="O3" s="30"/>
      <c r="P3" s="11"/>
      <c r="Q3" s="31"/>
      <c r="R3" s="11"/>
      <c r="S3" s="11"/>
      <c r="T3" s="11"/>
      <c r="U3" s="32" t="str">
        <f aca="false">IF((LEN(A3)+LEN(B3)+LEN(C3)+LEN(D3)+LEN(E3)+LEN(F3)+LEN(G3)+LEN(H3)+LEN(I3)+LEN(J3)+LEN(K3)+LEN(M3)+LEN(N3)+LEN(O3)+LEN(P3)+LEN(Q3)+LEN(R3)+LEN(S3)+LEN(T3))=0,"",IF(OR(A3="",B3="",C3="",D3="",E3="",J3="",K3="",N3=""),"⚠ Champ obligatoire manquant",IF(AND(ISNUMBER(K3),ISNUMBER(J3),N(K3)&gt;N(J3)),"⚠ Prix Autopiec &gt; prix public",IF(COUNTIFS($A$2:$A$1001,A3,$B$2:$B$1001,B3)&gt;1,"⚠ Référence en double","✔ OK"))))</f>
        <v/>
      </c>
    </row>
    <row r="4" customFormat="false" ht="15" hidden="false" customHeight="false" outlineLevel="0" collapsed="false">
      <c r="A4" s="11"/>
      <c r="B4" s="27"/>
      <c r="C4" s="11"/>
      <c r="D4" s="11"/>
      <c r="E4" s="11"/>
      <c r="F4" s="27"/>
      <c r="G4" s="27"/>
      <c r="H4" s="11"/>
      <c r="I4" s="11"/>
      <c r="J4" s="12"/>
      <c r="K4" s="12"/>
      <c r="L4" s="28" t="str">
        <f aca="false">IF(AND(ISNUMBER(J4),ISNUMBER(K4),N(J4)&gt;0),1-K4/J4,"")</f>
        <v/>
      </c>
      <c r="M4" s="29"/>
      <c r="N4" s="30"/>
      <c r="O4" s="30"/>
      <c r="P4" s="11"/>
      <c r="Q4" s="31"/>
      <c r="R4" s="11"/>
      <c r="S4" s="11"/>
      <c r="T4" s="11"/>
      <c r="U4" s="32" t="str">
        <f aca="false">IF((LEN(A4)+LEN(B4)+LEN(C4)+LEN(D4)+LEN(E4)+LEN(F4)+LEN(G4)+LEN(H4)+LEN(I4)+LEN(J4)+LEN(K4)+LEN(M4)+LEN(N4)+LEN(O4)+LEN(P4)+LEN(Q4)+LEN(R4)+LEN(S4)+LEN(T4))=0,"",IF(OR(A4="",B4="",C4="",D4="",E4="",J4="",K4="",N4=""),"⚠ Champ obligatoire manquant",IF(AND(ISNUMBER(K4),ISNUMBER(J4),N(K4)&gt;N(J4)),"⚠ Prix Autopiec &gt; prix public",IF(COUNTIFS($A$2:$A$1001,A4,$B$2:$B$1001,B4)&gt;1,"⚠ Référence en double","✔ OK"))))</f>
        <v/>
      </c>
    </row>
    <row r="5" customFormat="false" ht="15" hidden="false" customHeight="false" outlineLevel="0" collapsed="false">
      <c r="A5" s="11"/>
      <c r="B5" s="27"/>
      <c r="C5" s="11"/>
      <c r="D5" s="11"/>
      <c r="E5" s="11"/>
      <c r="F5" s="27"/>
      <c r="G5" s="27"/>
      <c r="H5" s="11"/>
      <c r="I5" s="11"/>
      <c r="J5" s="12"/>
      <c r="K5" s="12"/>
      <c r="L5" s="28" t="str">
        <f aca="false">IF(AND(ISNUMBER(J5),ISNUMBER(K5),N(J5)&gt;0),1-K5/J5,"")</f>
        <v/>
      </c>
      <c r="M5" s="29"/>
      <c r="N5" s="30"/>
      <c r="O5" s="30"/>
      <c r="P5" s="11"/>
      <c r="Q5" s="31"/>
      <c r="R5" s="11"/>
      <c r="S5" s="11"/>
      <c r="T5" s="11"/>
      <c r="U5" s="32" t="str">
        <f aca="false">IF((LEN(A5)+LEN(B5)+LEN(C5)+LEN(D5)+LEN(E5)+LEN(F5)+LEN(G5)+LEN(H5)+LEN(I5)+LEN(J5)+LEN(K5)+LEN(M5)+LEN(N5)+LEN(O5)+LEN(P5)+LEN(Q5)+LEN(R5)+LEN(S5)+LEN(T5))=0,"",IF(OR(A5="",B5="",C5="",D5="",E5="",J5="",K5="",N5=""),"⚠ Champ obligatoire manquant",IF(AND(ISNUMBER(K5),ISNUMBER(J5),N(K5)&gt;N(J5)),"⚠ Prix Autopiec &gt; prix public",IF(COUNTIFS($A$2:$A$1001,A5,$B$2:$B$1001,B5)&gt;1,"⚠ Référence en double","✔ OK"))))</f>
        <v/>
      </c>
    </row>
    <row r="6" customFormat="false" ht="15" hidden="false" customHeight="false" outlineLevel="0" collapsed="false">
      <c r="A6" s="11"/>
      <c r="B6" s="27"/>
      <c r="C6" s="11"/>
      <c r="D6" s="11"/>
      <c r="E6" s="11"/>
      <c r="F6" s="27"/>
      <c r="G6" s="27"/>
      <c r="H6" s="11"/>
      <c r="I6" s="11"/>
      <c r="J6" s="12"/>
      <c r="K6" s="12"/>
      <c r="L6" s="28" t="str">
        <f aca="false">IF(AND(ISNUMBER(J6),ISNUMBER(K6),N(J6)&gt;0),1-K6/J6,"")</f>
        <v/>
      </c>
      <c r="M6" s="29"/>
      <c r="N6" s="30"/>
      <c r="O6" s="30"/>
      <c r="P6" s="11"/>
      <c r="Q6" s="31"/>
      <c r="R6" s="11"/>
      <c r="S6" s="11"/>
      <c r="T6" s="11"/>
      <c r="U6" s="32" t="str">
        <f aca="false">IF((LEN(A6)+LEN(B6)+LEN(C6)+LEN(D6)+LEN(E6)+LEN(F6)+LEN(G6)+LEN(H6)+LEN(I6)+LEN(J6)+LEN(K6)+LEN(M6)+LEN(N6)+LEN(O6)+LEN(P6)+LEN(Q6)+LEN(R6)+LEN(S6)+LEN(T6))=0,"",IF(OR(A6="",B6="",C6="",D6="",E6="",J6="",K6="",N6=""),"⚠ Champ obligatoire manquant",IF(AND(ISNUMBER(K6),ISNUMBER(J6),N(K6)&gt;N(J6)),"⚠ Prix Autopiec &gt; prix public",IF(COUNTIFS($A$2:$A$1001,A6,$B$2:$B$1001,B6)&gt;1,"⚠ Référence en double","✔ OK"))))</f>
        <v/>
      </c>
    </row>
    <row r="7" customFormat="false" ht="15" hidden="false" customHeight="false" outlineLevel="0" collapsed="false">
      <c r="A7" s="11"/>
      <c r="B7" s="27"/>
      <c r="C7" s="11"/>
      <c r="D7" s="11"/>
      <c r="E7" s="11"/>
      <c r="F7" s="27"/>
      <c r="G7" s="27"/>
      <c r="H7" s="11"/>
      <c r="I7" s="11"/>
      <c r="J7" s="12"/>
      <c r="K7" s="12"/>
      <c r="L7" s="28" t="str">
        <f aca="false">IF(AND(ISNUMBER(J7),ISNUMBER(K7),N(J7)&gt;0),1-K7/J7,"")</f>
        <v/>
      </c>
      <c r="M7" s="29"/>
      <c r="N7" s="30"/>
      <c r="O7" s="30"/>
      <c r="P7" s="11"/>
      <c r="Q7" s="31"/>
      <c r="R7" s="11"/>
      <c r="S7" s="11"/>
      <c r="T7" s="11"/>
      <c r="U7" s="32" t="str">
        <f aca="false">IF((LEN(A7)+LEN(B7)+LEN(C7)+LEN(D7)+LEN(E7)+LEN(F7)+LEN(G7)+LEN(H7)+LEN(I7)+LEN(J7)+LEN(K7)+LEN(M7)+LEN(N7)+LEN(O7)+LEN(P7)+LEN(Q7)+LEN(R7)+LEN(S7)+LEN(T7))=0,"",IF(OR(A7="",B7="",C7="",D7="",E7="",J7="",K7="",N7=""),"⚠ Champ obligatoire manquant",IF(AND(ISNUMBER(K7),ISNUMBER(J7),N(K7)&gt;N(J7)),"⚠ Prix Autopiec &gt; prix public",IF(COUNTIFS($A$2:$A$1001,A7,$B$2:$B$1001,B7)&gt;1,"⚠ Référence en double","✔ OK"))))</f>
        <v/>
      </c>
    </row>
    <row r="8" customFormat="false" ht="15" hidden="false" customHeight="false" outlineLevel="0" collapsed="false">
      <c r="A8" s="11"/>
      <c r="B8" s="27"/>
      <c r="C8" s="11"/>
      <c r="D8" s="11"/>
      <c r="E8" s="11"/>
      <c r="F8" s="27"/>
      <c r="G8" s="27"/>
      <c r="H8" s="11"/>
      <c r="I8" s="11"/>
      <c r="J8" s="12"/>
      <c r="K8" s="12"/>
      <c r="L8" s="28" t="str">
        <f aca="false">IF(AND(ISNUMBER(J8),ISNUMBER(K8),N(J8)&gt;0),1-K8/J8,"")</f>
        <v/>
      </c>
      <c r="M8" s="29"/>
      <c r="N8" s="30"/>
      <c r="O8" s="30"/>
      <c r="P8" s="11"/>
      <c r="Q8" s="31"/>
      <c r="R8" s="11"/>
      <c r="S8" s="11"/>
      <c r="T8" s="11"/>
      <c r="U8" s="32" t="str">
        <f aca="false">IF((LEN(A8)+LEN(B8)+LEN(C8)+LEN(D8)+LEN(E8)+LEN(F8)+LEN(G8)+LEN(H8)+LEN(I8)+LEN(J8)+LEN(K8)+LEN(M8)+LEN(N8)+LEN(O8)+LEN(P8)+LEN(Q8)+LEN(R8)+LEN(S8)+LEN(T8))=0,"",IF(OR(A8="",B8="",C8="",D8="",E8="",J8="",K8="",N8=""),"⚠ Champ obligatoire manquant",IF(AND(ISNUMBER(K8),ISNUMBER(J8),N(K8)&gt;N(J8)),"⚠ Prix Autopiec &gt; prix public",IF(COUNTIFS($A$2:$A$1001,A8,$B$2:$B$1001,B8)&gt;1,"⚠ Référence en double","✔ OK"))))</f>
        <v/>
      </c>
    </row>
    <row r="9" customFormat="false" ht="15" hidden="false" customHeight="false" outlineLevel="0" collapsed="false">
      <c r="A9" s="11"/>
      <c r="B9" s="27"/>
      <c r="C9" s="11"/>
      <c r="D9" s="11"/>
      <c r="E9" s="11"/>
      <c r="F9" s="27"/>
      <c r="G9" s="27"/>
      <c r="H9" s="11"/>
      <c r="I9" s="11"/>
      <c r="J9" s="12"/>
      <c r="K9" s="12"/>
      <c r="L9" s="28" t="str">
        <f aca="false">IF(AND(ISNUMBER(J9),ISNUMBER(K9),N(J9)&gt;0),1-K9/J9,"")</f>
        <v/>
      </c>
      <c r="M9" s="29"/>
      <c r="N9" s="30"/>
      <c r="O9" s="30"/>
      <c r="P9" s="11"/>
      <c r="Q9" s="31"/>
      <c r="R9" s="11"/>
      <c r="S9" s="11"/>
      <c r="T9" s="11"/>
      <c r="U9" s="32" t="str">
        <f aca="false">IF((LEN(A9)+LEN(B9)+LEN(C9)+LEN(D9)+LEN(E9)+LEN(F9)+LEN(G9)+LEN(H9)+LEN(I9)+LEN(J9)+LEN(K9)+LEN(M9)+LEN(N9)+LEN(O9)+LEN(P9)+LEN(Q9)+LEN(R9)+LEN(S9)+LEN(T9))=0,"",IF(OR(A9="",B9="",C9="",D9="",E9="",J9="",K9="",N9=""),"⚠ Champ obligatoire manquant",IF(AND(ISNUMBER(K9),ISNUMBER(J9),N(K9)&gt;N(J9)),"⚠ Prix Autopiec &gt; prix public",IF(COUNTIFS($A$2:$A$1001,A9,$B$2:$B$1001,B9)&gt;1,"⚠ Référence en double","✔ OK"))))</f>
        <v/>
      </c>
    </row>
    <row r="10" customFormat="false" ht="15" hidden="false" customHeight="false" outlineLevel="0" collapsed="false">
      <c r="A10" s="11"/>
      <c r="B10" s="27"/>
      <c r="C10" s="11"/>
      <c r="D10" s="11"/>
      <c r="E10" s="11"/>
      <c r="F10" s="27"/>
      <c r="G10" s="27"/>
      <c r="H10" s="11"/>
      <c r="I10" s="11"/>
      <c r="J10" s="12"/>
      <c r="K10" s="12"/>
      <c r="L10" s="28" t="str">
        <f aca="false">IF(AND(ISNUMBER(J10),ISNUMBER(K10),N(J10)&gt;0),1-K10/J10,"")</f>
        <v/>
      </c>
      <c r="M10" s="29"/>
      <c r="N10" s="30"/>
      <c r="O10" s="30"/>
      <c r="P10" s="11"/>
      <c r="Q10" s="31"/>
      <c r="R10" s="11"/>
      <c r="S10" s="11"/>
      <c r="T10" s="11"/>
      <c r="U10" s="32" t="str">
        <f aca="false">IF((LEN(A10)+LEN(B10)+LEN(C10)+LEN(D10)+LEN(E10)+LEN(F10)+LEN(G10)+LEN(H10)+LEN(I10)+LEN(J10)+LEN(K10)+LEN(M10)+LEN(N10)+LEN(O10)+LEN(P10)+LEN(Q10)+LEN(R10)+LEN(S10)+LEN(T10))=0,"",IF(OR(A10="",B10="",C10="",D10="",E10="",J10="",K10="",N10=""),"⚠ Champ obligatoire manquant",IF(AND(ISNUMBER(K10),ISNUMBER(J10),N(K10)&gt;N(J10)),"⚠ Prix Autopiec &gt; prix public",IF(COUNTIFS($A$2:$A$1001,A10,$B$2:$B$1001,B10)&gt;1,"⚠ Référence en double","✔ OK"))))</f>
        <v/>
      </c>
    </row>
    <row r="11" customFormat="false" ht="15" hidden="false" customHeight="false" outlineLevel="0" collapsed="false">
      <c r="A11" s="11"/>
      <c r="B11" s="27"/>
      <c r="C11" s="11"/>
      <c r="D11" s="11"/>
      <c r="E11" s="11"/>
      <c r="F11" s="27"/>
      <c r="G11" s="27"/>
      <c r="H11" s="11"/>
      <c r="I11" s="11"/>
      <c r="J11" s="12"/>
      <c r="K11" s="12"/>
      <c r="L11" s="28" t="str">
        <f aca="false">IF(AND(ISNUMBER(J11),ISNUMBER(K11),N(J11)&gt;0),1-K11/J11,"")</f>
        <v/>
      </c>
      <c r="M11" s="29"/>
      <c r="N11" s="30"/>
      <c r="O11" s="30"/>
      <c r="P11" s="11"/>
      <c r="Q11" s="31"/>
      <c r="R11" s="11"/>
      <c r="S11" s="11"/>
      <c r="T11" s="11"/>
      <c r="U11" s="32" t="str">
        <f aca="false">IF((LEN(A11)+LEN(B11)+LEN(C11)+LEN(D11)+LEN(E11)+LEN(F11)+LEN(G11)+LEN(H11)+LEN(I11)+LEN(J11)+LEN(K11)+LEN(M11)+LEN(N11)+LEN(O11)+LEN(P11)+LEN(Q11)+LEN(R11)+LEN(S11)+LEN(T11))=0,"",IF(OR(A11="",B11="",C11="",D11="",E11="",J11="",K11="",N11=""),"⚠ Champ obligatoire manquant",IF(AND(ISNUMBER(K11),ISNUMBER(J11),N(K11)&gt;N(J11)),"⚠ Prix Autopiec &gt; prix public",IF(COUNTIFS($A$2:$A$1001,A11,$B$2:$B$1001,B11)&gt;1,"⚠ Référence en double","✔ OK"))))</f>
        <v/>
      </c>
    </row>
    <row r="12" customFormat="false" ht="15" hidden="false" customHeight="false" outlineLevel="0" collapsed="false">
      <c r="A12" s="11"/>
      <c r="B12" s="27"/>
      <c r="C12" s="11"/>
      <c r="D12" s="11"/>
      <c r="E12" s="11"/>
      <c r="F12" s="27"/>
      <c r="G12" s="27"/>
      <c r="H12" s="11"/>
      <c r="I12" s="11"/>
      <c r="J12" s="12"/>
      <c r="K12" s="12"/>
      <c r="L12" s="28" t="str">
        <f aca="false">IF(AND(ISNUMBER(J12),ISNUMBER(K12),N(J12)&gt;0),1-K12/J12,"")</f>
        <v/>
      </c>
      <c r="M12" s="29"/>
      <c r="N12" s="30"/>
      <c r="O12" s="30"/>
      <c r="P12" s="11"/>
      <c r="Q12" s="31"/>
      <c r="R12" s="11"/>
      <c r="S12" s="11"/>
      <c r="T12" s="11"/>
      <c r="U12" s="32" t="str">
        <f aca="false">IF((LEN(A12)+LEN(B12)+LEN(C12)+LEN(D12)+LEN(E12)+LEN(F12)+LEN(G12)+LEN(H12)+LEN(I12)+LEN(J12)+LEN(K12)+LEN(M12)+LEN(N12)+LEN(O12)+LEN(P12)+LEN(Q12)+LEN(R12)+LEN(S12)+LEN(T12))=0,"",IF(OR(A12="",B12="",C12="",D12="",E12="",J12="",K12="",N12=""),"⚠ Champ obligatoire manquant",IF(AND(ISNUMBER(K12),ISNUMBER(J12),N(K12)&gt;N(J12)),"⚠ Prix Autopiec &gt; prix public",IF(COUNTIFS($A$2:$A$1001,A12,$B$2:$B$1001,B12)&gt;1,"⚠ Référence en double","✔ OK"))))</f>
        <v/>
      </c>
    </row>
    <row r="13" customFormat="false" ht="15" hidden="false" customHeight="false" outlineLevel="0" collapsed="false">
      <c r="A13" s="11"/>
      <c r="B13" s="27"/>
      <c r="C13" s="11"/>
      <c r="D13" s="11"/>
      <c r="E13" s="11"/>
      <c r="F13" s="27"/>
      <c r="G13" s="27"/>
      <c r="H13" s="11"/>
      <c r="I13" s="11"/>
      <c r="J13" s="12"/>
      <c r="K13" s="12"/>
      <c r="L13" s="28" t="str">
        <f aca="false">IF(AND(ISNUMBER(J13),ISNUMBER(K13),N(J13)&gt;0),1-K13/J13,"")</f>
        <v/>
      </c>
      <c r="M13" s="29"/>
      <c r="N13" s="30"/>
      <c r="O13" s="30"/>
      <c r="P13" s="11"/>
      <c r="Q13" s="31"/>
      <c r="R13" s="11"/>
      <c r="S13" s="11"/>
      <c r="T13" s="11"/>
      <c r="U13" s="32" t="str">
        <f aca="false">IF((LEN(A13)+LEN(B13)+LEN(C13)+LEN(D13)+LEN(E13)+LEN(F13)+LEN(G13)+LEN(H13)+LEN(I13)+LEN(J13)+LEN(K13)+LEN(M13)+LEN(N13)+LEN(O13)+LEN(P13)+LEN(Q13)+LEN(R13)+LEN(S13)+LEN(T13))=0,"",IF(OR(A13="",B13="",C13="",D13="",E13="",J13="",K13="",N13=""),"⚠ Champ obligatoire manquant",IF(AND(ISNUMBER(K13),ISNUMBER(J13),N(K13)&gt;N(J13)),"⚠ Prix Autopiec &gt; prix public",IF(COUNTIFS($A$2:$A$1001,A13,$B$2:$B$1001,B13)&gt;1,"⚠ Référence en double","✔ OK"))))</f>
        <v/>
      </c>
    </row>
    <row r="14" customFormat="false" ht="15" hidden="false" customHeight="false" outlineLevel="0" collapsed="false">
      <c r="A14" s="11"/>
      <c r="B14" s="27"/>
      <c r="C14" s="11"/>
      <c r="D14" s="11"/>
      <c r="E14" s="11"/>
      <c r="F14" s="27"/>
      <c r="G14" s="27"/>
      <c r="H14" s="11"/>
      <c r="I14" s="11"/>
      <c r="J14" s="12"/>
      <c r="K14" s="12"/>
      <c r="L14" s="28" t="str">
        <f aca="false">IF(AND(ISNUMBER(J14),ISNUMBER(K14),N(J14)&gt;0),1-K14/J14,"")</f>
        <v/>
      </c>
      <c r="M14" s="29"/>
      <c r="N14" s="30"/>
      <c r="O14" s="30"/>
      <c r="P14" s="11"/>
      <c r="Q14" s="31"/>
      <c r="R14" s="11"/>
      <c r="S14" s="11"/>
      <c r="T14" s="11"/>
      <c r="U14" s="32" t="str">
        <f aca="false">IF((LEN(A14)+LEN(B14)+LEN(C14)+LEN(D14)+LEN(E14)+LEN(F14)+LEN(G14)+LEN(H14)+LEN(I14)+LEN(J14)+LEN(K14)+LEN(M14)+LEN(N14)+LEN(O14)+LEN(P14)+LEN(Q14)+LEN(R14)+LEN(S14)+LEN(T14))=0,"",IF(OR(A14="",B14="",C14="",D14="",E14="",J14="",K14="",N14=""),"⚠ Champ obligatoire manquant",IF(AND(ISNUMBER(K14),ISNUMBER(J14),N(K14)&gt;N(J14)),"⚠ Prix Autopiec &gt; prix public",IF(COUNTIFS($A$2:$A$1001,A14,$B$2:$B$1001,B14)&gt;1,"⚠ Référence en double","✔ OK"))))</f>
        <v/>
      </c>
    </row>
    <row r="15" customFormat="false" ht="15" hidden="false" customHeight="false" outlineLevel="0" collapsed="false">
      <c r="A15" s="11"/>
      <c r="B15" s="27"/>
      <c r="C15" s="11"/>
      <c r="D15" s="11"/>
      <c r="E15" s="11"/>
      <c r="F15" s="27"/>
      <c r="G15" s="27"/>
      <c r="H15" s="11"/>
      <c r="I15" s="11"/>
      <c r="J15" s="12"/>
      <c r="K15" s="12"/>
      <c r="L15" s="28" t="str">
        <f aca="false">IF(AND(ISNUMBER(J15),ISNUMBER(K15),N(J15)&gt;0),1-K15/J15,"")</f>
        <v/>
      </c>
      <c r="M15" s="29"/>
      <c r="N15" s="30"/>
      <c r="O15" s="30"/>
      <c r="P15" s="11"/>
      <c r="Q15" s="31"/>
      <c r="R15" s="11"/>
      <c r="S15" s="11"/>
      <c r="T15" s="11"/>
      <c r="U15" s="32" t="str">
        <f aca="false">IF((LEN(A15)+LEN(B15)+LEN(C15)+LEN(D15)+LEN(E15)+LEN(F15)+LEN(G15)+LEN(H15)+LEN(I15)+LEN(J15)+LEN(K15)+LEN(M15)+LEN(N15)+LEN(O15)+LEN(P15)+LEN(Q15)+LEN(R15)+LEN(S15)+LEN(T15))=0,"",IF(OR(A15="",B15="",C15="",D15="",E15="",J15="",K15="",N15=""),"⚠ Champ obligatoire manquant",IF(AND(ISNUMBER(K15),ISNUMBER(J15),N(K15)&gt;N(J15)),"⚠ Prix Autopiec &gt; prix public",IF(COUNTIFS($A$2:$A$1001,A15,$B$2:$B$1001,B15)&gt;1,"⚠ Référence en double","✔ OK"))))</f>
        <v/>
      </c>
    </row>
    <row r="16" customFormat="false" ht="15" hidden="false" customHeight="false" outlineLevel="0" collapsed="false">
      <c r="A16" s="11"/>
      <c r="B16" s="27"/>
      <c r="C16" s="11"/>
      <c r="D16" s="11"/>
      <c r="E16" s="11"/>
      <c r="F16" s="27"/>
      <c r="G16" s="27"/>
      <c r="H16" s="11"/>
      <c r="I16" s="11"/>
      <c r="J16" s="12"/>
      <c r="K16" s="12"/>
      <c r="L16" s="28" t="str">
        <f aca="false">IF(AND(ISNUMBER(J16),ISNUMBER(K16),N(J16)&gt;0),1-K16/J16,"")</f>
        <v/>
      </c>
      <c r="M16" s="29"/>
      <c r="N16" s="30"/>
      <c r="O16" s="30"/>
      <c r="P16" s="11"/>
      <c r="Q16" s="31"/>
      <c r="R16" s="11"/>
      <c r="S16" s="11"/>
      <c r="T16" s="11"/>
      <c r="U16" s="32" t="str">
        <f aca="false">IF((LEN(A16)+LEN(B16)+LEN(C16)+LEN(D16)+LEN(E16)+LEN(F16)+LEN(G16)+LEN(H16)+LEN(I16)+LEN(J16)+LEN(K16)+LEN(M16)+LEN(N16)+LEN(O16)+LEN(P16)+LEN(Q16)+LEN(R16)+LEN(S16)+LEN(T16))=0,"",IF(OR(A16="",B16="",C16="",D16="",E16="",J16="",K16="",N16=""),"⚠ Champ obligatoire manquant",IF(AND(ISNUMBER(K16),ISNUMBER(J16),N(K16)&gt;N(J16)),"⚠ Prix Autopiec &gt; prix public",IF(COUNTIFS($A$2:$A$1001,A16,$B$2:$B$1001,B16)&gt;1,"⚠ Référence en double","✔ OK"))))</f>
        <v/>
      </c>
    </row>
    <row r="17" customFormat="false" ht="15" hidden="false" customHeight="false" outlineLevel="0" collapsed="false">
      <c r="A17" s="11"/>
      <c r="B17" s="27"/>
      <c r="C17" s="11"/>
      <c r="D17" s="11"/>
      <c r="E17" s="11"/>
      <c r="F17" s="27"/>
      <c r="G17" s="27"/>
      <c r="H17" s="11"/>
      <c r="I17" s="11"/>
      <c r="J17" s="12"/>
      <c r="K17" s="12"/>
      <c r="L17" s="28" t="str">
        <f aca="false">IF(AND(ISNUMBER(J17),ISNUMBER(K17),N(J17)&gt;0),1-K17/J17,"")</f>
        <v/>
      </c>
      <c r="M17" s="29"/>
      <c r="N17" s="30"/>
      <c r="O17" s="30"/>
      <c r="P17" s="11"/>
      <c r="Q17" s="31"/>
      <c r="R17" s="11"/>
      <c r="S17" s="11"/>
      <c r="T17" s="11"/>
      <c r="U17" s="32" t="str">
        <f aca="false">IF((LEN(A17)+LEN(B17)+LEN(C17)+LEN(D17)+LEN(E17)+LEN(F17)+LEN(G17)+LEN(H17)+LEN(I17)+LEN(J17)+LEN(K17)+LEN(M17)+LEN(N17)+LEN(O17)+LEN(P17)+LEN(Q17)+LEN(R17)+LEN(S17)+LEN(T17))=0,"",IF(OR(A17="",B17="",C17="",D17="",E17="",J17="",K17="",N17=""),"⚠ Champ obligatoire manquant",IF(AND(ISNUMBER(K17),ISNUMBER(J17),N(K17)&gt;N(J17)),"⚠ Prix Autopiec &gt; prix public",IF(COUNTIFS($A$2:$A$1001,A17,$B$2:$B$1001,B17)&gt;1,"⚠ Référence en double","✔ OK"))))</f>
        <v/>
      </c>
    </row>
    <row r="18" customFormat="false" ht="15" hidden="false" customHeight="false" outlineLevel="0" collapsed="false">
      <c r="A18" s="11"/>
      <c r="B18" s="27"/>
      <c r="C18" s="11"/>
      <c r="D18" s="11"/>
      <c r="E18" s="11"/>
      <c r="F18" s="27"/>
      <c r="G18" s="27"/>
      <c r="H18" s="11"/>
      <c r="I18" s="11"/>
      <c r="J18" s="12"/>
      <c r="K18" s="12"/>
      <c r="L18" s="28" t="str">
        <f aca="false">IF(AND(ISNUMBER(J18),ISNUMBER(K18),N(J18)&gt;0),1-K18/J18,"")</f>
        <v/>
      </c>
      <c r="M18" s="29"/>
      <c r="N18" s="30"/>
      <c r="O18" s="30"/>
      <c r="P18" s="11"/>
      <c r="Q18" s="31"/>
      <c r="R18" s="11"/>
      <c r="S18" s="11"/>
      <c r="T18" s="11"/>
      <c r="U18" s="32" t="str">
        <f aca="false">IF((LEN(A18)+LEN(B18)+LEN(C18)+LEN(D18)+LEN(E18)+LEN(F18)+LEN(G18)+LEN(H18)+LEN(I18)+LEN(J18)+LEN(K18)+LEN(M18)+LEN(N18)+LEN(O18)+LEN(P18)+LEN(Q18)+LEN(R18)+LEN(S18)+LEN(T18))=0,"",IF(OR(A18="",B18="",C18="",D18="",E18="",J18="",K18="",N18=""),"⚠ Champ obligatoire manquant",IF(AND(ISNUMBER(K18),ISNUMBER(J18),N(K18)&gt;N(J18)),"⚠ Prix Autopiec &gt; prix public",IF(COUNTIFS($A$2:$A$1001,A18,$B$2:$B$1001,B18)&gt;1,"⚠ Référence en double","✔ OK"))))</f>
        <v/>
      </c>
    </row>
    <row r="19" customFormat="false" ht="15" hidden="false" customHeight="false" outlineLevel="0" collapsed="false">
      <c r="A19" s="11"/>
      <c r="B19" s="27"/>
      <c r="C19" s="11"/>
      <c r="D19" s="11"/>
      <c r="E19" s="11"/>
      <c r="F19" s="27"/>
      <c r="G19" s="27"/>
      <c r="H19" s="11"/>
      <c r="I19" s="11"/>
      <c r="J19" s="12"/>
      <c r="K19" s="12"/>
      <c r="L19" s="28" t="str">
        <f aca="false">IF(AND(ISNUMBER(J19),ISNUMBER(K19),N(J19)&gt;0),1-K19/J19,"")</f>
        <v/>
      </c>
      <c r="M19" s="29"/>
      <c r="N19" s="30"/>
      <c r="O19" s="30"/>
      <c r="P19" s="11"/>
      <c r="Q19" s="31"/>
      <c r="R19" s="11"/>
      <c r="S19" s="11"/>
      <c r="T19" s="11"/>
      <c r="U19" s="32" t="str">
        <f aca="false">IF((LEN(A19)+LEN(B19)+LEN(C19)+LEN(D19)+LEN(E19)+LEN(F19)+LEN(G19)+LEN(H19)+LEN(I19)+LEN(J19)+LEN(K19)+LEN(M19)+LEN(N19)+LEN(O19)+LEN(P19)+LEN(Q19)+LEN(R19)+LEN(S19)+LEN(T19))=0,"",IF(OR(A19="",B19="",C19="",D19="",E19="",J19="",K19="",N19=""),"⚠ Champ obligatoire manquant",IF(AND(ISNUMBER(K19),ISNUMBER(J19),N(K19)&gt;N(J19)),"⚠ Prix Autopiec &gt; prix public",IF(COUNTIFS($A$2:$A$1001,A19,$B$2:$B$1001,B19)&gt;1,"⚠ Référence en double","✔ OK"))))</f>
        <v/>
      </c>
    </row>
    <row r="20" customFormat="false" ht="15" hidden="false" customHeight="false" outlineLevel="0" collapsed="false">
      <c r="A20" s="11"/>
      <c r="B20" s="27"/>
      <c r="C20" s="11"/>
      <c r="D20" s="11"/>
      <c r="E20" s="11"/>
      <c r="F20" s="27"/>
      <c r="G20" s="27"/>
      <c r="H20" s="11"/>
      <c r="I20" s="11"/>
      <c r="J20" s="12"/>
      <c r="K20" s="12"/>
      <c r="L20" s="28" t="str">
        <f aca="false">IF(AND(ISNUMBER(J20),ISNUMBER(K20),N(J20)&gt;0),1-K20/J20,"")</f>
        <v/>
      </c>
      <c r="M20" s="29"/>
      <c r="N20" s="30"/>
      <c r="O20" s="30"/>
      <c r="P20" s="11"/>
      <c r="Q20" s="31"/>
      <c r="R20" s="11"/>
      <c r="S20" s="11"/>
      <c r="T20" s="11"/>
      <c r="U20" s="32" t="str">
        <f aca="false">IF((LEN(A20)+LEN(B20)+LEN(C20)+LEN(D20)+LEN(E20)+LEN(F20)+LEN(G20)+LEN(H20)+LEN(I20)+LEN(J20)+LEN(K20)+LEN(M20)+LEN(N20)+LEN(O20)+LEN(P20)+LEN(Q20)+LEN(R20)+LEN(S20)+LEN(T20))=0,"",IF(OR(A20="",B20="",C20="",D20="",E20="",J20="",K20="",N20=""),"⚠ Champ obligatoire manquant",IF(AND(ISNUMBER(K20),ISNUMBER(J20),N(K20)&gt;N(J20)),"⚠ Prix Autopiec &gt; prix public",IF(COUNTIFS($A$2:$A$1001,A20,$B$2:$B$1001,B20)&gt;1,"⚠ Référence en double","✔ OK"))))</f>
        <v/>
      </c>
    </row>
    <row r="21" customFormat="false" ht="15" hidden="false" customHeight="false" outlineLevel="0" collapsed="false">
      <c r="A21" s="11"/>
      <c r="B21" s="27"/>
      <c r="C21" s="11"/>
      <c r="D21" s="11"/>
      <c r="E21" s="11"/>
      <c r="F21" s="27"/>
      <c r="G21" s="27"/>
      <c r="H21" s="11"/>
      <c r="I21" s="11"/>
      <c r="J21" s="12"/>
      <c r="K21" s="12"/>
      <c r="L21" s="28" t="str">
        <f aca="false">IF(AND(ISNUMBER(J21),ISNUMBER(K21),N(J21)&gt;0),1-K21/J21,"")</f>
        <v/>
      </c>
      <c r="M21" s="29"/>
      <c r="N21" s="30"/>
      <c r="O21" s="30"/>
      <c r="P21" s="11"/>
      <c r="Q21" s="31"/>
      <c r="R21" s="11"/>
      <c r="S21" s="11"/>
      <c r="T21" s="11"/>
      <c r="U21" s="32" t="str">
        <f aca="false">IF((LEN(A21)+LEN(B21)+LEN(C21)+LEN(D21)+LEN(E21)+LEN(F21)+LEN(G21)+LEN(H21)+LEN(I21)+LEN(J21)+LEN(K21)+LEN(M21)+LEN(N21)+LEN(O21)+LEN(P21)+LEN(Q21)+LEN(R21)+LEN(S21)+LEN(T21))=0,"",IF(OR(A21="",B21="",C21="",D21="",E21="",J21="",K21="",N21=""),"⚠ Champ obligatoire manquant",IF(AND(ISNUMBER(K21),ISNUMBER(J21),N(K21)&gt;N(J21)),"⚠ Prix Autopiec &gt; prix public",IF(COUNTIFS($A$2:$A$1001,A21,$B$2:$B$1001,B21)&gt;1,"⚠ Référence en double","✔ OK"))))</f>
        <v/>
      </c>
    </row>
    <row r="22" customFormat="false" ht="15" hidden="false" customHeight="false" outlineLevel="0" collapsed="false">
      <c r="A22" s="11"/>
      <c r="B22" s="27"/>
      <c r="C22" s="11"/>
      <c r="D22" s="11"/>
      <c r="E22" s="11"/>
      <c r="F22" s="27"/>
      <c r="G22" s="27"/>
      <c r="H22" s="11"/>
      <c r="I22" s="11"/>
      <c r="J22" s="12"/>
      <c r="K22" s="12"/>
      <c r="L22" s="28" t="str">
        <f aca="false">IF(AND(ISNUMBER(J22),ISNUMBER(K22),N(J22)&gt;0),1-K22/J22,"")</f>
        <v/>
      </c>
      <c r="M22" s="29"/>
      <c r="N22" s="30"/>
      <c r="O22" s="30"/>
      <c r="P22" s="11"/>
      <c r="Q22" s="31"/>
      <c r="R22" s="11"/>
      <c r="S22" s="11"/>
      <c r="T22" s="11"/>
      <c r="U22" s="32" t="str">
        <f aca="false">IF((LEN(A22)+LEN(B22)+LEN(C22)+LEN(D22)+LEN(E22)+LEN(F22)+LEN(G22)+LEN(H22)+LEN(I22)+LEN(J22)+LEN(K22)+LEN(M22)+LEN(N22)+LEN(O22)+LEN(P22)+LEN(Q22)+LEN(R22)+LEN(S22)+LEN(T22))=0,"",IF(OR(A22="",B22="",C22="",D22="",E22="",J22="",K22="",N22=""),"⚠ Champ obligatoire manquant",IF(AND(ISNUMBER(K22),ISNUMBER(J22),N(K22)&gt;N(J22)),"⚠ Prix Autopiec &gt; prix public",IF(COUNTIFS($A$2:$A$1001,A22,$B$2:$B$1001,B22)&gt;1,"⚠ Référence en double","✔ OK"))))</f>
        <v/>
      </c>
    </row>
    <row r="23" customFormat="false" ht="15" hidden="false" customHeight="false" outlineLevel="0" collapsed="false">
      <c r="A23" s="11"/>
      <c r="B23" s="27"/>
      <c r="C23" s="11"/>
      <c r="D23" s="11"/>
      <c r="E23" s="11"/>
      <c r="F23" s="27"/>
      <c r="G23" s="27"/>
      <c r="H23" s="11"/>
      <c r="I23" s="11"/>
      <c r="J23" s="12"/>
      <c r="K23" s="12"/>
      <c r="L23" s="28" t="str">
        <f aca="false">IF(AND(ISNUMBER(J23),ISNUMBER(K23),N(J23)&gt;0),1-K23/J23,"")</f>
        <v/>
      </c>
      <c r="M23" s="29"/>
      <c r="N23" s="30"/>
      <c r="O23" s="30"/>
      <c r="P23" s="11"/>
      <c r="Q23" s="31"/>
      <c r="R23" s="11"/>
      <c r="S23" s="11"/>
      <c r="T23" s="11"/>
      <c r="U23" s="32" t="str">
        <f aca="false">IF((LEN(A23)+LEN(B23)+LEN(C23)+LEN(D23)+LEN(E23)+LEN(F23)+LEN(G23)+LEN(H23)+LEN(I23)+LEN(J23)+LEN(K23)+LEN(M23)+LEN(N23)+LEN(O23)+LEN(P23)+LEN(Q23)+LEN(R23)+LEN(S23)+LEN(T23))=0,"",IF(OR(A23="",B23="",C23="",D23="",E23="",J23="",K23="",N23=""),"⚠ Champ obligatoire manquant",IF(AND(ISNUMBER(K23),ISNUMBER(J23),N(K23)&gt;N(J23)),"⚠ Prix Autopiec &gt; prix public",IF(COUNTIFS($A$2:$A$1001,A23,$B$2:$B$1001,B23)&gt;1,"⚠ Référence en double","✔ OK"))))</f>
        <v/>
      </c>
    </row>
    <row r="24" customFormat="false" ht="15" hidden="false" customHeight="false" outlineLevel="0" collapsed="false">
      <c r="A24" s="11"/>
      <c r="B24" s="27"/>
      <c r="C24" s="11"/>
      <c r="D24" s="11"/>
      <c r="E24" s="11"/>
      <c r="F24" s="27"/>
      <c r="G24" s="27"/>
      <c r="H24" s="11"/>
      <c r="I24" s="11"/>
      <c r="J24" s="12"/>
      <c r="K24" s="12"/>
      <c r="L24" s="28" t="str">
        <f aca="false">IF(AND(ISNUMBER(J24),ISNUMBER(K24),N(J24)&gt;0),1-K24/J24,"")</f>
        <v/>
      </c>
      <c r="M24" s="29"/>
      <c r="N24" s="30"/>
      <c r="O24" s="30"/>
      <c r="P24" s="11"/>
      <c r="Q24" s="31"/>
      <c r="R24" s="11"/>
      <c r="S24" s="11"/>
      <c r="T24" s="11"/>
      <c r="U24" s="32" t="str">
        <f aca="false">IF((LEN(A24)+LEN(B24)+LEN(C24)+LEN(D24)+LEN(E24)+LEN(F24)+LEN(G24)+LEN(H24)+LEN(I24)+LEN(J24)+LEN(K24)+LEN(M24)+LEN(N24)+LEN(O24)+LEN(P24)+LEN(Q24)+LEN(R24)+LEN(S24)+LEN(T24))=0,"",IF(OR(A24="",B24="",C24="",D24="",E24="",J24="",K24="",N24=""),"⚠ Champ obligatoire manquant",IF(AND(ISNUMBER(K24),ISNUMBER(J24),N(K24)&gt;N(J24)),"⚠ Prix Autopiec &gt; prix public",IF(COUNTIFS($A$2:$A$1001,A24,$B$2:$B$1001,B24)&gt;1,"⚠ Référence en double","✔ OK"))))</f>
        <v/>
      </c>
    </row>
    <row r="25" customFormat="false" ht="15" hidden="false" customHeight="false" outlineLevel="0" collapsed="false">
      <c r="A25" s="11"/>
      <c r="B25" s="27"/>
      <c r="C25" s="11"/>
      <c r="D25" s="11"/>
      <c r="E25" s="11"/>
      <c r="F25" s="27"/>
      <c r="G25" s="27"/>
      <c r="H25" s="11"/>
      <c r="I25" s="11"/>
      <c r="J25" s="12"/>
      <c r="K25" s="12"/>
      <c r="L25" s="28" t="str">
        <f aca="false">IF(AND(ISNUMBER(J25),ISNUMBER(K25),N(J25)&gt;0),1-K25/J25,"")</f>
        <v/>
      </c>
      <c r="M25" s="29"/>
      <c r="N25" s="30"/>
      <c r="O25" s="30"/>
      <c r="P25" s="11"/>
      <c r="Q25" s="31"/>
      <c r="R25" s="11"/>
      <c r="S25" s="11"/>
      <c r="T25" s="11"/>
      <c r="U25" s="32" t="str">
        <f aca="false">IF((LEN(A25)+LEN(B25)+LEN(C25)+LEN(D25)+LEN(E25)+LEN(F25)+LEN(G25)+LEN(H25)+LEN(I25)+LEN(J25)+LEN(K25)+LEN(M25)+LEN(N25)+LEN(O25)+LEN(P25)+LEN(Q25)+LEN(R25)+LEN(S25)+LEN(T25))=0,"",IF(OR(A25="",B25="",C25="",D25="",E25="",J25="",K25="",N25=""),"⚠ Champ obligatoire manquant",IF(AND(ISNUMBER(K25),ISNUMBER(J25),N(K25)&gt;N(J25)),"⚠ Prix Autopiec &gt; prix public",IF(COUNTIFS($A$2:$A$1001,A25,$B$2:$B$1001,B25)&gt;1,"⚠ Référence en double","✔ OK"))))</f>
        <v/>
      </c>
    </row>
    <row r="26" customFormat="false" ht="15" hidden="false" customHeight="false" outlineLevel="0" collapsed="false">
      <c r="A26" s="11"/>
      <c r="B26" s="27"/>
      <c r="C26" s="11"/>
      <c r="D26" s="11"/>
      <c r="E26" s="11"/>
      <c r="F26" s="27"/>
      <c r="G26" s="27"/>
      <c r="H26" s="11"/>
      <c r="I26" s="11"/>
      <c r="J26" s="12"/>
      <c r="K26" s="12"/>
      <c r="L26" s="28" t="str">
        <f aca="false">IF(AND(ISNUMBER(J26),ISNUMBER(K26),N(J26)&gt;0),1-K26/J26,"")</f>
        <v/>
      </c>
      <c r="M26" s="29"/>
      <c r="N26" s="30"/>
      <c r="O26" s="30"/>
      <c r="P26" s="11"/>
      <c r="Q26" s="31"/>
      <c r="R26" s="11"/>
      <c r="S26" s="11"/>
      <c r="T26" s="11"/>
      <c r="U26" s="32" t="str">
        <f aca="false">IF((LEN(A26)+LEN(B26)+LEN(C26)+LEN(D26)+LEN(E26)+LEN(F26)+LEN(G26)+LEN(H26)+LEN(I26)+LEN(J26)+LEN(K26)+LEN(M26)+LEN(N26)+LEN(O26)+LEN(P26)+LEN(Q26)+LEN(R26)+LEN(S26)+LEN(T26))=0,"",IF(OR(A26="",B26="",C26="",D26="",E26="",J26="",K26="",N26=""),"⚠ Champ obligatoire manquant",IF(AND(ISNUMBER(K26),ISNUMBER(J26),N(K26)&gt;N(J26)),"⚠ Prix Autopiec &gt; prix public",IF(COUNTIFS($A$2:$A$1001,A26,$B$2:$B$1001,B26)&gt;1,"⚠ Référence en double","✔ OK"))))</f>
        <v/>
      </c>
    </row>
    <row r="27" customFormat="false" ht="15" hidden="false" customHeight="false" outlineLevel="0" collapsed="false">
      <c r="A27" s="11"/>
      <c r="B27" s="27"/>
      <c r="C27" s="11"/>
      <c r="D27" s="11"/>
      <c r="E27" s="11"/>
      <c r="F27" s="27"/>
      <c r="G27" s="27"/>
      <c r="H27" s="11"/>
      <c r="I27" s="11"/>
      <c r="J27" s="12"/>
      <c r="K27" s="12"/>
      <c r="L27" s="28" t="str">
        <f aca="false">IF(AND(ISNUMBER(J27),ISNUMBER(K27),N(J27)&gt;0),1-K27/J27,"")</f>
        <v/>
      </c>
      <c r="M27" s="29"/>
      <c r="N27" s="30"/>
      <c r="O27" s="30"/>
      <c r="P27" s="11"/>
      <c r="Q27" s="31"/>
      <c r="R27" s="11"/>
      <c r="S27" s="11"/>
      <c r="T27" s="11"/>
      <c r="U27" s="32" t="str">
        <f aca="false">IF((LEN(A27)+LEN(B27)+LEN(C27)+LEN(D27)+LEN(E27)+LEN(F27)+LEN(G27)+LEN(H27)+LEN(I27)+LEN(J27)+LEN(K27)+LEN(M27)+LEN(N27)+LEN(O27)+LEN(P27)+LEN(Q27)+LEN(R27)+LEN(S27)+LEN(T27))=0,"",IF(OR(A27="",B27="",C27="",D27="",E27="",J27="",K27="",N27=""),"⚠ Champ obligatoire manquant",IF(AND(ISNUMBER(K27),ISNUMBER(J27),N(K27)&gt;N(J27)),"⚠ Prix Autopiec &gt; prix public",IF(COUNTIFS($A$2:$A$1001,A27,$B$2:$B$1001,B27)&gt;1,"⚠ Référence en double","✔ OK"))))</f>
        <v/>
      </c>
    </row>
    <row r="28" customFormat="false" ht="15" hidden="false" customHeight="false" outlineLevel="0" collapsed="false">
      <c r="A28" s="11"/>
      <c r="B28" s="27"/>
      <c r="C28" s="11"/>
      <c r="D28" s="11"/>
      <c r="E28" s="11"/>
      <c r="F28" s="27"/>
      <c r="G28" s="27"/>
      <c r="H28" s="11"/>
      <c r="I28" s="11"/>
      <c r="J28" s="12"/>
      <c r="K28" s="12"/>
      <c r="L28" s="28" t="str">
        <f aca="false">IF(AND(ISNUMBER(J28),ISNUMBER(K28),N(J28)&gt;0),1-K28/J28,"")</f>
        <v/>
      </c>
      <c r="M28" s="29"/>
      <c r="N28" s="30"/>
      <c r="O28" s="30"/>
      <c r="P28" s="11"/>
      <c r="Q28" s="31"/>
      <c r="R28" s="11"/>
      <c r="S28" s="11"/>
      <c r="T28" s="11"/>
      <c r="U28" s="32" t="str">
        <f aca="false">IF((LEN(A28)+LEN(B28)+LEN(C28)+LEN(D28)+LEN(E28)+LEN(F28)+LEN(G28)+LEN(H28)+LEN(I28)+LEN(J28)+LEN(K28)+LEN(M28)+LEN(N28)+LEN(O28)+LEN(P28)+LEN(Q28)+LEN(R28)+LEN(S28)+LEN(T28))=0,"",IF(OR(A28="",B28="",C28="",D28="",E28="",J28="",K28="",N28=""),"⚠ Champ obligatoire manquant",IF(AND(ISNUMBER(K28),ISNUMBER(J28),N(K28)&gt;N(J28)),"⚠ Prix Autopiec &gt; prix public",IF(COUNTIFS($A$2:$A$1001,A28,$B$2:$B$1001,B28)&gt;1,"⚠ Référence en double","✔ OK"))))</f>
        <v/>
      </c>
    </row>
    <row r="29" customFormat="false" ht="15" hidden="false" customHeight="false" outlineLevel="0" collapsed="false">
      <c r="A29" s="11"/>
      <c r="B29" s="27"/>
      <c r="C29" s="11"/>
      <c r="D29" s="11"/>
      <c r="E29" s="11"/>
      <c r="F29" s="27"/>
      <c r="G29" s="27"/>
      <c r="H29" s="11"/>
      <c r="I29" s="11"/>
      <c r="J29" s="12"/>
      <c r="K29" s="12"/>
      <c r="L29" s="28" t="str">
        <f aca="false">IF(AND(ISNUMBER(J29),ISNUMBER(K29),N(J29)&gt;0),1-K29/J29,"")</f>
        <v/>
      </c>
      <c r="M29" s="29"/>
      <c r="N29" s="30"/>
      <c r="O29" s="30"/>
      <c r="P29" s="11"/>
      <c r="Q29" s="31"/>
      <c r="R29" s="11"/>
      <c r="S29" s="11"/>
      <c r="T29" s="11"/>
      <c r="U29" s="32" t="str">
        <f aca="false">IF((LEN(A29)+LEN(B29)+LEN(C29)+LEN(D29)+LEN(E29)+LEN(F29)+LEN(G29)+LEN(H29)+LEN(I29)+LEN(J29)+LEN(K29)+LEN(M29)+LEN(N29)+LEN(O29)+LEN(P29)+LEN(Q29)+LEN(R29)+LEN(S29)+LEN(T29))=0,"",IF(OR(A29="",B29="",C29="",D29="",E29="",J29="",K29="",N29=""),"⚠ Champ obligatoire manquant",IF(AND(ISNUMBER(K29),ISNUMBER(J29),N(K29)&gt;N(J29)),"⚠ Prix Autopiec &gt; prix public",IF(COUNTIFS($A$2:$A$1001,A29,$B$2:$B$1001,B29)&gt;1,"⚠ Référence en double","✔ OK"))))</f>
        <v/>
      </c>
    </row>
    <row r="30" customFormat="false" ht="15" hidden="false" customHeight="false" outlineLevel="0" collapsed="false">
      <c r="A30" s="11"/>
      <c r="B30" s="27"/>
      <c r="C30" s="11"/>
      <c r="D30" s="11"/>
      <c r="E30" s="11"/>
      <c r="F30" s="27"/>
      <c r="G30" s="27"/>
      <c r="H30" s="11"/>
      <c r="I30" s="11"/>
      <c r="J30" s="12"/>
      <c r="K30" s="12"/>
      <c r="L30" s="28" t="str">
        <f aca="false">IF(AND(ISNUMBER(J30),ISNUMBER(K30),N(J30)&gt;0),1-K30/J30,"")</f>
        <v/>
      </c>
      <c r="M30" s="29"/>
      <c r="N30" s="30"/>
      <c r="O30" s="30"/>
      <c r="P30" s="11"/>
      <c r="Q30" s="31"/>
      <c r="R30" s="11"/>
      <c r="S30" s="11"/>
      <c r="T30" s="11"/>
      <c r="U30" s="32" t="str">
        <f aca="false">IF((LEN(A30)+LEN(B30)+LEN(C30)+LEN(D30)+LEN(E30)+LEN(F30)+LEN(G30)+LEN(H30)+LEN(I30)+LEN(J30)+LEN(K30)+LEN(M30)+LEN(N30)+LEN(O30)+LEN(P30)+LEN(Q30)+LEN(R30)+LEN(S30)+LEN(T30))=0,"",IF(OR(A30="",B30="",C30="",D30="",E30="",J30="",K30="",N30=""),"⚠ Champ obligatoire manquant",IF(AND(ISNUMBER(K30),ISNUMBER(J30),N(K30)&gt;N(J30)),"⚠ Prix Autopiec &gt; prix public",IF(COUNTIFS($A$2:$A$1001,A30,$B$2:$B$1001,B30)&gt;1,"⚠ Référence en double","✔ OK"))))</f>
        <v/>
      </c>
    </row>
    <row r="31" customFormat="false" ht="15" hidden="false" customHeight="false" outlineLevel="0" collapsed="false">
      <c r="A31" s="11"/>
      <c r="B31" s="27"/>
      <c r="C31" s="11"/>
      <c r="D31" s="11"/>
      <c r="E31" s="11"/>
      <c r="F31" s="27"/>
      <c r="G31" s="27"/>
      <c r="H31" s="11"/>
      <c r="I31" s="11"/>
      <c r="J31" s="12"/>
      <c r="K31" s="12"/>
      <c r="L31" s="28" t="str">
        <f aca="false">IF(AND(ISNUMBER(J31),ISNUMBER(K31),N(J31)&gt;0),1-K31/J31,"")</f>
        <v/>
      </c>
      <c r="M31" s="29"/>
      <c r="N31" s="30"/>
      <c r="O31" s="30"/>
      <c r="P31" s="11"/>
      <c r="Q31" s="31"/>
      <c r="R31" s="11"/>
      <c r="S31" s="11"/>
      <c r="T31" s="11"/>
      <c r="U31" s="32" t="str">
        <f aca="false">IF((LEN(A31)+LEN(B31)+LEN(C31)+LEN(D31)+LEN(E31)+LEN(F31)+LEN(G31)+LEN(H31)+LEN(I31)+LEN(J31)+LEN(K31)+LEN(M31)+LEN(N31)+LEN(O31)+LEN(P31)+LEN(Q31)+LEN(R31)+LEN(S31)+LEN(T31))=0,"",IF(OR(A31="",B31="",C31="",D31="",E31="",J31="",K31="",N31=""),"⚠ Champ obligatoire manquant",IF(AND(ISNUMBER(K31),ISNUMBER(J31),N(K31)&gt;N(J31)),"⚠ Prix Autopiec &gt; prix public",IF(COUNTIFS($A$2:$A$1001,A31,$B$2:$B$1001,B31)&gt;1,"⚠ Référence en double","✔ OK"))))</f>
        <v/>
      </c>
    </row>
    <row r="32" customFormat="false" ht="15" hidden="false" customHeight="false" outlineLevel="0" collapsed="false">
      <c r="A32" s="11"/>
      <c r="B32" s="27"/>
      <c r="C32" s="11"/>
      <c r="D32" s="11"/>
      <c r="E32" s="11"/>
      <c r="F32" s="27"/>
      <c r="G32" s="27"/>
      <c r="H32" s="11"/>
      <c r="I32" s="11"/>
      <c r="J32" s="12"/>
      <c r="K32" s="12"/>
      <c r="L32" s="28" t="str">
        <f aca="false">IF(AND(ISNUMBER(J32),ISNUMBER(K32),N(J32)&gt;0),1-K32/J32,"")</f>
        <v/>
      </c>
      <c r="M32" s="29"/>
      <c r="N32" s="30"/>
      <c r="O32" s="30"/>
      <c r="P32" s="11"/>
      <c r="Q32" s="31"/>
      <c r="R32" s="11"/>
      <c r="S32" s="11"/>
      <c r="T32" s="11"/>
      <c r="U32" s="32" t="str">
        <f aca="false">IF((LEN(A32)+LEN(B32)+LEN(C32)+LEN(D32)+LEN(E32)+LEN(F32)+LEN(G32)+LEN(H32)+LEN(I32)+LEN(J32)+LEN(K32)+LEN(M32)+LEN(N32)+LEN(O32)+LEN(P32)+LEN(Q32)+LEN(R32)+LEN(S32)+LEN(T32))=0,"",IF(OR(A32="",B32="",C32="",D32="",E32="",J32="",K32="",N32=""),"⚠ Champ obligatoire manquant",IF(AND(ISNUMBER(K32),ISNUMBER(J32),N(K32)&gt;N(J32)),"⚠ Prix Autopiec &gt; prix public",IF(COUNTIFS($A$2:$A$1001,A32,$B$2:$B$1001,B32)&gt;1,"⚠ Référence en double","✔ OK"))))</f>
        <v/>
      </c>
    </row>
    <row r="33" customFormat="false" ht="15" hidden="false" customHeight="false" outlineLevel="0" collapsed="false">
      <c r="A33" s="11"/>
      <c r="B33" s="27"/>
      <c r="C33" s="11"/>
      <c r="D33" s="11"/>
      <c r="E33" s="11"/>
      <c r="F33" s="27"/>
      <c r="G33" s="27"/>
      <c r="H33" s="11"/>
      <c r="I33" s="11"/>
      <c r="J33" s="12"/>
      <c r="K33" s="12"/>
      <c r="L33" s="28" t="str">
        <f aca="false">IF(AND(ISNUMBER(J33),ISNUMBER(K33),N(J33)&gt;0),1-K33/J33,"")</f>
        <v/>
      </c>
      <c r="M33" s="29"/>
      <c r="N33" s="30"/>
      <c r="O33" s="30"/>
      <c r="P33" s="11"/>
      <c r="Q33" s="31"/>
      <c r="R33" s="11"/>
      <c r="S33" s="11"/>
      <c r="T33" s="11"/>
      <c r="U33" s="32" t="str">
        <f aca="false">IF((LEN(A33)+LEN(B33)+LEN(C33)+LEN(D33)+LEN(E33)+LEN(F33)+LEN(G33)+LEN(H33)+LEN(I33)+LEN(J33)+LEN(K33)+LEN(M33)+LEN(N33)+LEN(O33)+LEN(P33)+LEN(Q33)+LEN(R33)+LEN(S33)+LEN(T33))=0,"",IF(OR(A33="",B33="",C33="",D33="",E33="",J33="",K33="",N33=""),"⚠ Champ obligatoire manquant",IF(AND(ISNUMBER(K33),ISNUMBER(J33),N(K33)&gt;N(J33)),"⚠ Prix Autopiec &gt; prix public",IF(COUNTIFS($A$2:$A$1001,A33,$B$2:$B$1001,B33)&gt;1,"⚠ Référence en double","✔ OK"))))</f>
        <v/>
      </c>
    </row>
    <row r="34" customFormat="false" ht="15" hidden="false" customHeight="false" outlineLevel="0" collapsed="false">
      <c r="A34" s="11"/>
      <c r="B34" s="27"/>
      <c r="C34" s="11"/>
      <c r="D34" s="11"/>
      <c r="E34" s="11"/>
      <c r="F34" s="27"/>
      <c r="G34" s="27"/>
      <c r="H34" s="11"/>
      <c r="I34" s="11"/>
      <c r="J34" s="12"/>
      <c r="K34" s="12"/>
      <c r="L34" s="28" t="str">
        <f aca="false">IF(AND(ISNUMBER(J34),ISNUMBER(K34),N(J34)&gt;0),1-K34/J34,"")</f>
        <v/>
      </c>
      <c r="M34" s="29"/>
      <c r="N34" s="30"/>
      <c r="O34" s="30"/>
      <c r="P34" s="11"/>
      <c r="Q34" s="31"/>
      <c r="R34" s="11"/>
      <c r="S34" s="11"/>
      <c r="T34" s="11"/>
      <c r="U34" s="32" t="str">
        <f aca="false">IF((LEN(A34)+LEN(B34)+LEN(C34)+LEN(D34)+LEN(E34)+LEN(F34)+LEN(G34)+LEN(H34)+LEN(I34)+LEN(J34)+LEN(K34)+LEN(M34)+LEN(N34)+LEN(O34)+LEN(P34)+LEN(Q34)+LEN(R34)+LEN(S34)+LEN(T34))=0,"",IF(OR(A34="",B34="",C34="",D34="",E34="",J34="",K34="",N34=""),"⚠ Champ obligatoire manquant",IF(AND(ISNUMBER(K34),ISNUMBER(J34),N(K34)&gt;N(J34)),"⚠ Prix Autopiec &gt; prix public",IF(COUNTIFS($A$2:$A$1001,A34,$B$2:$B$1001,B34)&gt;1,"⚠ Référence en double","✔ OK"))))</f>
        <v/>
      </c>
    </row>
    <row r="35" customFormat="false" ht="15" hidden="false" customHeight="false" outlineLevel="0" collapsed="false">
      <c r="A35" s="11"/>
      <c r="B35" s="27"/>
      <c r="C35" s="11"/>
      <c r="D35" s="11"/>
      <c r="E35" s="11"/>
      <c r="F35" s="27"/>
      <c r="G35" s="27"/>
      <c r="H35" s="11"/>
      <c r="I35" s="11"/>
      <c r="J35" s="12"/>
      <c r="K35" s="12"/>
      <c r="L35" s="28" t="str">
        <f aca="false">IF(AND(ISNUMBER(J35),ISNUMBER(K35),N(J35)&gt;0),1-K35/J35,"")</f>
        <v/>
      </c>
      <c r="M35" s="29"/>
      <c r="N35" s="30"/>
      <c r="O35" s="30"/>
      <c r="P35" s="11"/>
      <c r="Q35" s="31"/>
      <c r="R35" s="11"/>
      <c r="S35" s="11"/>
      <c r="T35" s="11"/>
      <c r="U35" s="32" t="str">
        <f aca="false">IF((LEN(A35)+LEN(B35)+LEN(C35)+LEN(D35)+LEN(E35)+LEN(F35)+LEN(G35)+LEN(H35)+LEN(I35)+LEN(J35)+LEN(K35)+LEN(M35)+LEN(N35)+LEN(O35)+LEN(P35)+LEN(Q35)+LEN(R35)+LEN(S35)+LEN(T35))=0,"",IF(OR(A35="",B35="",C35="",D35="",E35="",J35="",K35="",N35=""),"⚠ Champ obligatoire manquant",IF(AND(ISNUMBER(K35),ISNUMBER(J35),N(K35)&gt;N(J35)),"⚠ Prix Autopiec &gt; prix public",IF(COUNTIFS($A$2:$A$1001,A35,$B$2:$B$1001,B35)&gt;1,"⚠ Référence en double","✔ OK"))))</f>
        <v/>
      </c>
    </row>
    <row r="36" customFormat="false" ht="15" hidden="false" customHeight="false" outlineLevel="0" collapsed="false">
      <c r="A36" s="11"/>
      <c r="B36" s="27"/>
      <c r="C36" s="11"/>
      <c r="D36" s="11"/>
      <c r="E36" s="11"/>
      <c r="F36" s="27"/>
      <c r="G36" s="27"/>
      <c r="H36" s="11"/>
      <c r="I36" s="11"/>
      <c r="J36" s="12"/>
      <c r="K36" s="12"/>
      <c r="L36" s="28" t="str">
        <f aca="false">IF(AND(ISNUMBER(J36),ISNUMBER(K36),N(J36)&gt;0),1-K36/J36,"")</f>
        <v/>
      </c>
      <c r="M36" s="29"/>
      <c r="N36" s="30"/>
      <c r="O36" s="30"/>
      <c r="P36" s="11"/>
      <c r="Q36" s="31"/>
      <c r="R36" s="11"/>
      <c r="S36" s="11"/>
      <c r="T36" s="11"/>
      <c r="U36" s="32" t="str">
        <f aca="false">IF((LEN(A36)+LEN(B36)+LEN(C36)+LEN(D36)+LEN(E36)+LEN(F36)+LEN(G36)+LEN(H36)+LEN(I36)+LEN(J36)+LEN(K36)+LEN(M36)+LEN(N36)+LEN(O36)+LEN(P36)+LEN(Q36)+LEN(R36)+LEN(S36)+LEN(T36))=0,"",IF(OR(A36="",B36="",C36="",D36="",E36="",J36="",K36="",N36=""),"⚠ Champ obligatoire manquant",IF(AND(ISNUMBER(K36),ISNUMBER(J36),N(K36)&gt;N(J36)),"⚠ Prix Autopiec &gt; prix public",IF(COUNTIFS($A$2:$A$1001,A36,$B$2:$B$1001,B36)&gt;1,"⚠ Référence en double","✔ OK"))))</f>
        <v/>
      </c>
    </row>
    <row r="37" customFormat="false" ht="15" hidden="false" customHeight="false" outlineLevel="0" collapsed="false">
      <c r="A37" s="11"/>
      <c r="B37" s="27"/>
      <c r="C37" s="11"/>
      <c r="D37" s="11"/>
      <c r="E37" s="11"/>
      <c r="F37" s="27"/>
      <c r="G37" s="27"/>
      <c r="H37" s="11"/>
      <c r="I37" s="11"/>
      <c r="J37" s="12"/>
      <c r="K37" s="12"/>
      <c r="L37" s="28" t="str">
        <f aca="false">IF(AND(ISNUMBER(J37),ISNUMBER(K37),N(J37)&gt;0),1-K37/J37,"")</f>
        <v/>
      </c>
      <c r="M37" s="29"/>
      <c r="N37" s="30"/>
      <c r="O37" s="30"/>
      <c r="P37" s="11"/>
      <c r="Q37" s="31"/>
      <c r="R37" s="11"/>
      <c r="S37" s="11"/>
      <c r="T37" s="11"/>
      <c r="U37" s="32" t="str">
        <f aca="false">IF((LEN(A37)+LEN(B37)+LEN(C37)+LEN(D37)+LEN(E37)+LEN(F37)+LEN(G37)+LEN(H37)+LEN(I37)+LEN(J37)+LEN(K37)+LEN(M37)+LEN(N37)+LEN(O37)+LEN(P37)+LEN(Q37)+LEN(R37)+LEN(S37)+LEN(T37))=0,"",IF(OR(A37="",B37="",C37="",D37="",E37="",J37="",K37="",N37=""),"⚠ Champ obligatoire manquant",IF(AND(ISNUMBER(K37),ISNUMBER(J37),N(K37)&gt;N(J37)),"⚠ Prix Autopiec &gt; prix public",IF(COUNTIFS($A$2:$A$1001,A37,$B$2:$B$1001,B37)&gt;1,"⚠ Référence en double","✔ OK"))))</f>
        <v/>
      </c>
    </row>
    <row r="38" customFormat="false" ht="15" hidden="false" customHeight="false" outlineLevel="0" collapsed="false">
      <c r="A38" s="11"/>
      <c r="B38" s="27"/>
      <c r="C38" s="11"/>
      <c r="D38" s="11"/>
      <c r="E38" s="11"/>
      <c r="F38" s="27"/>
      <c r="G38" s="27"/>
      <c r="H38" s="11"/>
      <c r="I38" s="11"/>
      <c r="J38" s="12"/>
      <c r="K38" s="12"/>
      <c r="L38" s="28" t="str">
        <f aca="false">IF(AND(ISNUMBER(J38),ISNUMBER(K38),N(J38)&gt;0),1-K38/J38,"")</f>
        <v/>
      </c>
      <c r="M38" s="29"/>
      <c r="N38" s="30"/>
      <c r="O38" s="30"/>
      <c r="P38" s="11"/>
      <c r="Q38" s="31"/>
      <c r="R38" s="11"/>
      <c r="S38" s="11"/>
      <c r="T38" s="11"/>
      <c r="U38" s="32" t="str">
        <f aca="false">IF((LEN(A38)+LEN(B38)+LEN(C38)+LEN(D38)+LEN(E38)+LEN(F38)+LEN(G38)+LEN(H38)+LEN(I38)+LEN(J38)+LEN(K38)+LEN(M38)+LEN(N38)+LEN(O38)+LEN(P38)+LEN(Q38)+LEN(R38)+LEN(S38)+LEN(T38))=0,"",IF(OR(A38="",B38="",C38="",D38="",E38="",J38="",K38="",N38=""),"⚠ Champ obligatoire manquant",IF(AND(ISNUMBER(K38),ISNUMBER(J38),N(K38)&gt;N(J38)),"⚠ Prix Autopiec &gt; prix public",IF(COUNTIFS($A$2:$A$1001,A38,$B$2:$B$1001,B38)&gt;1,"⚠ Référence en double","✔ OK"))))</f>
        <v/>
      </c>
    </row>
    <row r="39" customFormat="false" ht="15" hidden="false" customHeight="false" outlineLevel="0" collapsed="false">
      <c r="A39" s="11"/>
      <c r="B39" s="27"/>
      <c r="C39" s="11"/>
      <c r="D39" s="11"/>
      <c r="E39" s="11"/>
      <c r="F39" s="27"/>
      <c r="G39" s="27"/>
      <c r="H39" s="11"/>
      <c r="I39" s="11"/>
      <c r="J39" s="12"/>
      <c r="K39" s="12"/>
      <c r="L39" s="28" t="str">
        <f aca="false">IF(AND(ISNUMBER(J39),ISNUMBER(K39),N(J39)&gt;0),1-K39/J39,"")</f>
        <v/>
      </c>
      <c r="M39" s="29"/>
      <c r="N39" s="30"/>
      <c r="O39" s="30"/>
      <c r="P39" s="11"/>
      <c r="Q39" s="31"/>
      <c r="R39" s="11"/>
      <c r="S39" s="11"/>
      <c r="T39" s="11"/>
      <c r="U39" s="32" t="str">
        <f aca="false">IF((LEN(A39)+LEN(B39)+LEN(C39)+LEN(D39)+LEN(E39)+LEN(F39)+LEN(G39)+LEN(H39)+LEN(I39)+LEN(J39)+LEN(K39)+LEN(M39)+LEN(N39)+LEN(O39)+LEN(P39)+LEN(Q39)+LEN(R39)+LEN(S39)+LEN(T39))=0,"",IF(OR(A39="",B39="",C39="",D39="",E39="",J39="",K39="",N39=""),"⚠ Champ obligatoire manquant",IF(AND(ISNUMBER(K39),ISNUMBER(J39),N(K39)&gt;N(J39)),"⚠ Prix Autopiec &gt; prix public",IF(COUNTIFS($A$2:$A$1001,A39,$B$2:$B$1001,B39)&gt;1,"⚠ Référence en double","✔ OK"))))</f>
        <v/>
      </c>
    </row>
    <row r="40" customFormat="false" ht="15" hidden="false" customHeight="false" outlineLevel="0" collapsed="false">
      <c r="A40" s="11"/>
      <c r="B40" s="27"/>
      <c r="C40" s="11"/>
      <c r="D40" s="11"/>
      <c r="E40" s="11"/>
      <c r="F40" s="27"/>
      <c r="G40" s="27"/>
      <c r="H40" s="11"/>
      <c r="I40" s="11"/>
      <c r="J40" s="12"/>
      <c r="K40" s="12"/>
      <c r="L40" s="28" t="str">
        <f aca="false">IF(AND(ISNUMBER(J40),ISNUMBER(K40),N(J40)&gt;0),1-K40/J40,"")</f>
        <v/>
      </c>
      <c r="M40" s="29"/>
      <c r="N40" s="30"/>
      <c r="O40" s="30"/>
      <c r="P40" s="11"/>
      <c r="Q40" s="31"/>
      <c r="R40" s="11"/>
      <c r="S40" s="11"/>
      <c r="T40" s="11"/>
      <c r="U40" s="32" t="str">
        <f aca="false">IF((LEN(A40)+LEN(B40)+LEN(C40)+LEN(D40)+LEN(E40)+LEN(F40)+LEN(G40)+LEN(H40)+LEN(I40)+LEN(J40)+LEN(K40)+LEN(M40)+LEN(N40)+LEN(O40)+LEN(P40)+LEN(Q40)+LEN(R40)+LEN(S40)+LEN(T40))=0,"",IF(OR(A40="",B40="",C40="",D40="",E40="",J40="",K40="",N40=""),"⚠ Champ obligatoire manquant",IF(AND(ISNUMBER(K40),ISNUMBER(J40),N(K40)&gt;N(J40)),"⚠ Prix Autopiec &gt; prix public",IF(COUNTIFS($A$2:$A$1001,A40,$B$2:$B$1001,B40)&gt;1,"⚠ Référence en double","✔ OK"))))</f>
        <v/>
      </c>
    </row>
    <row r="41" customFormat="false" ht="15" hidden="false" customHeight="false" outlineLevel="0" collapsed="false">
      <c r="A41" s="11"/>
      <c r="B41" s="27"/>
      <c r="C41" s="11"/>
      <c r="D41" s="11"/>
      <c r="E41" s="11"/>
      <c r="F41" s="27"/>
      <c r="G41" s="27"/>
      <c r="H41" s="11"/>
      <c r="I41" s="11"/>
      <c r="J41" s="12"/>
      <c r="K41" s="12"/>
      <c r="L41" s="28" t="str">
        <f aca="false">IF(AND(ISNUMBER(J41),ISNUMBER(K41),N(J41)&gt;0),1-K41/J41,"")</f>
        <v/>
      </c>
      <c r="M41" s="29"/>
      <c r="N41" s="30"/>
      <c r="O41" s="30"/>
      <c r="P41" s="11"/>
      <c r="Q41" s="31"/>
      <c r="R41" s="11"/>
      <c r="S41" s="11"/>
      <c r="T41" s="11"/>
      <c r="U41" s="32" t="str">
        <f aca="false">IF((LEN(A41)+LEN(B41)+LEN(C41)+LEN(D41)+LEN(E41)+LEN(F41)+LEN(G41)+LEN(H41)+LEN(I41)+LEN(J41)+LEN(K41)+LEN(M41)+LEN(N41)+LEN(O41)+LEN(P41)+LEN(Q41)+LEN(R41)+LEN(S41)+LEN(T41))=0,"",IF(OR(A41="",B41="",C41="",D41="",E41="",J41="",K41="",N41=""),"⚠ Champ obligatoire manquant",IF(AND(ISNUMBER(K41),ISNUMBER(J41),N(K41)&gt;N(J41)),"⚠ Prix Autopiec &gt; prix public",IF(COUNTIFS($A$2:$A$1001,A41,$B$2:$B$1001,B41)&gt;1,"⚠ Référence en double","✔ OK"))))</f>
        <v/>
      </c>
    </row>
    <row r="42" customFormat="false" ht="15" hidden="false" customHeight="false" outlineLevel="0" collapsed="false">
      <c r="A42" s="11"/>
      <c r="B42" s="27"/>
      <c r="C42" s="11"/>
      <c r="D42" s="11"/>
      <c r="E42" s="11"/>
      <c r="F42" s="27"/>
      <c r="G42" s="27"/>
      <c r="H42" s="11"/>
      <c r="I42" s="11"/>
      <c r="J42" s="12"/>
      <c r="K42" s="12"/>
      <c r="L42" s="28" t="str">
        <f aca="false">IF(AND(ISNUMBER(J42),ISNUMBER(K42),N(J42)&gt;0),1-K42/J42,"")</f>
        <v/>
      </c>
      <c r="M42" s="29"/>
      <c r="N42" s="30"/>
      <c r="O42" s="30"/>
      <c r="P42" s="11"/>
      <c r="Q42" s="31"/>
      <c r="R42" s="11"/>
      <c r="S42" s="11"/>
      <c r="T42" s="11"/>
      <c r="U42" s="32" t="str">
        <f aca="false">IF((LEN(A42)+LEN(B42)+LEN(C42)+LEN(D42)+LEN(E42)+LEN(F42)+LEN(G42)+LEN(H42)+LEN(I42)+LEN(J42)+LEN(K42)+LEN(M42)+LEN(N42)+LEN(O42)+LEN(P42)+LEN(Q42)+LEN(R42)+LEN(S42)+LEN(T42))=0,"",IF(OR(A42="",B42="",C42="",D42="",E42="",J42="",K42="",N42=""),"⚠ Champ obligatoire manquant",IF(AND(ISNUMBER(K42),ISNUMBER(J42),N(K42)&gt;N(J42)),"⚠ Prix Autopiec &gt; prix public",IF(COUNTIFS($A$2:$A$1001,A42,$B$2:$B$1001,B42)&gt;1,"⚠ Référence en double","✔ OK"))))</f>
        <v/>
      </c>
    </row>
    <row r="43" customFormat="false" ht="15" hidden="false" customHeight="false" outlineLevel="0" collapsed="false">
      <c r="A43" s="11"/>
      <c r="B43" s="27"/>
      <c r="C43" s="11"/>
      <c r="D43" s="11"/>
      <c r="E43" s="11"/>
      <c r="F43" s="27"/>
      <c r="G43" s="27"/>
      <c r="H43" s="11"/>
      <c r="I43" s="11"/>
      <c r="J43" s="12"/>
      <c r="K43" s="12"/>
      <c r="L43" s="28" t="str">
        <f aca="false">IF(AND(ISNUMBER(J43),ISNUMBER(K43),N(J43)&gt;0),1-K43/J43,"")</f>
        <v/>
      </c>
      <c r="M43" s="29"/>
      <c r="N43" s="30"/>
      <c r="O43" s="30"/>
      <c r="P43" s="11"/>
      <c r="Q43" s="31"/>
      <c r="R43" s="11"/>
      <c r="S43" s="11"/>
      <c r="T43" s="11"/>
      <c r="U43" s="32" t="str">
        <f aca="false">IF((LEN(A43)+LEN(B43)+LEN(C43)+LEN(D43)+LEN(E43)+LEN(F43)+LEN(G43)+LEN(H43)+LEN(I43)+LEN(J43)+LEN(K43)+LEN(M43)+LEN(N43)+LEN(O43)+LEN(P43)+LEN(Q43)+LEN(R43)+LEN(S43)+LEN(T43))=0,"",IF(OR(A43="",B43="",C43="",D43="",E43="",J43="",K43="",N43=""),"⚠ Champ obligatoire manquant",IF(AND(ISNUMBER(K43),ISNUMBER(J43),N(K43)&gt;N(J43)),"⚠ Prix Autopiec &gt; prix public",IF(COUNTIFS($A$2:$A$1001,A43,$B$2:$B$1001,B43)&gt;1,"⚠ Référence en double","✔ OK"))))</f>
        <v/>
      </c>
    </row>
    <row r="44" customFormat="false" ht="15" hidden="false" customHeight="false" outlineLevel="0" collapsed="false">
      <c r="A44" s="11"/>
      <c r="B44" s="27"/>
      <c r="C44" s="11"/>
      <c r="D44" s="11"/>
      <c r="E44" s="11"/>
      <c r="F44" s="27"/>
      <c r="G44" s="27"/>
      <c r="H44" s="11"/>
      <c r="I44" s="11"/>
      <c r="J44" s="12"/>
      <c r="K44" s="12"/>
      <c r="L44" s="28" t="str">
        <f aca="false">IF(AND(ISNUMBER(J44),ISNUMBER(K44),N(J44)&gt;0),1-K44/J44,"")</f>
        <v/>
      </c>
      <c r="M44" s="29"/>
      <c r="N44" s="30"/>
      <c r="O44" s="30"/>
      <c r="P44" s="11"/>
      <c r="Q44" s="31"/>
      <c r="R44" s="11"/>
      <c r="S44" s="11"/>
      <c r="T44" s="11"/>
      <c r="U44" s="32" t="str">
        <f aca="false">IF((LEN(A44)+LEN(B44)+LEN(C44)+LEN(D44)+LEN(E44)+LEN(F44)+LEN(G44)+LEN(H44)+LEN(I44)+LEN(J44)+LEN(K44)+LEN(M44)+LEN(N44)+LEN(O44)+LEN(P44)+LEN(Q44)+LEN(R44)+LEN(S44)+LEN(T44))=0,"",IF(OR(A44="",B44="",C44="",D44="",E44="",J44="",K44="",N44=""),"⚠ Champ obligatoire manquant",IF(AND(ISNUMBER(K44),ISNUMBER(J44),N(K44)&gt;N(J44)),"⚠ Prix Autopiec &gt; prix public",IF(COUNTIFS($A$2:$A$1001,A44,$B$2:$B$1001,B44)&gt;1,"⚠ Référence en double","✔ OK"))))</f>
        <v/>
      </c>
    </row>
    <row r="45" customFormat="false" ht="15" hidden="false" customHeight="false" outlineLevel="0" collapsed="false">
      <c r="A45" s="11"/>
      <c r="B45" s="27"/>
      <c r="C45" s="11"/>
      <c r="D45" s="11"/>
      <c r="E45" s="11"/>
      <c r="F45" s="27"/>
      <c r="G45" s="27"/>
      <c r="H45" s="11"/>
      <c r="I45" s="11"/>
      <c r="J45" s="12"/>
      <c r="K45" s="12"/>
      <c r="L45" s="28" t="str">
        <f aca="false">IF(AND(ISNUMBER(J45),ISNUMBER(K45),N(J45)&gt;0),1-K45/J45,"")</f>
        <v/>
      </c>
      <c r="M45" s="29"/>
      <c r="N45" s="30"/>
      <c r="O45" s="30"/>
      <c r="P45" s="11"/>
      <c r="Q45" s="31"/>
      <c r="R45" s="11"/>
      <c r="S45" s="11"/>
      <c r="T45" s="11"/>
      <c r="U45" s="32" t="str">
        <f aca="false">IF((LEN(A45)+LEN(B45)+LEN(C45)+LEN(D45)+LEN(E45)+LEN(F45)+LEN(G45)+LEN(H45)+LEN(I45)+LEN(J45)+LEN(K45)+LEN(M45)+LEN(N45)+LEN(O45)+LEN(P45)+LEN(Q45)+LEN(R45)+LEN(S45)+LEN(T45))=0,"",IF(OR(A45="",B45="",C45="",D45="",E45="",J45="",K45="",N45=""),"⚠ Champ obligatoire manquant",IF(AND(ISNUMBER(K45),ISNUMBER(J45),N(K45)&gt;N(J45)),"⚠ Prix Autopiec &gt; prix public",IF(COUNTIFS($A$2:$A$1001,A45,$B$2:$B$1001,B45)&gt;1,"⚠ Référence en double","✔ OK"))))</f>
        <v/>
      </c>
    </row>
    <row r="46" customFormat="false" ht="15" hidden="false" customHeight="false" outlineLevel="0" collapsed="false">
      <c r="A46" s="11"/>
      <c r="B46" s="27"/>
      <c r="C46" s="11"/>
      <c r="D46" s="11"/>
      <c r="E46" s="11"/>
      <c r="F46" s="27"/>
      <c r="G46" s="27"/>
      <c r="H46" s="11"/>
      <c r="I46" s="11"/>
      <c r="J46" s="12"/>
      <c r="K46" s="12"/>
      <c r="L46" s="28" t="str">
        <f aca="false">IF(AND(ISNUMBER(J46),ISNUMBER(K46),N(J46)&gt;0),1-K46/J46,"")</f>
        <v/>
      </c>
      <c r="M46" s="29"/>
      <c r="N46" s="30"/>
      <c r="O46" s="30"/>
      <c r="P46" s="11"/>
      <c r="Q46" s="31"/>
      <c r="R46" s="11"/>
      <c r="S46" s="11"/>
      <c r="T46" s="11"/>
      <c r="U46" s="32" t="str">
        <f aca="false">IF((LEN(A46)+LEN(B46)+LEN(C46)+LEN(D46)+LEN(E46)+LEN(F46)+LEN(G46)+LEN(H46)+LEN(I46)+LEN(J46)+LEN(K46)+LEN(M46)+LEN(N46)+LEN(O46)+LEN(P46)+LEN(Q46)+LEN(R46)+LEN(S46)+LEN(T46))=0,"",IF(OR(A46="",B46="",C46="",D46="",E46="",J46="",K46="",N46=""),"⚠ Champ obligatoire manquant",IF(AND(ISNUMBER(K46),ISNUMBER(J46),N(K46)&gt;N(J46)),"⚠ Prix Autopiec &gt; prix public",IF(COUNTIFS($A$2:$A$1001,A46,$B$2:$B$1001,B46)&gt;1,"⚠ Référence en double","✔ OK"))))</f>
        <v/>
      </c>
    </row>
    <row r="47" customFormat="false" ht="15" hidden="false" customHeight="false" outlineLevel="0" collapsed="false">
      <c r="A47" s="11"/>
      <c r="B47" s="27"/>
      <c r="C47" s="11"/>
      <c r="D47" s="11"/>
      <c r="E47" s="11"/>
      <c r="F47" s="27"/>
      <c r="G47" s="27"/>
      <c r="H47" s="11"/>
      <c r="I47" s="11"/>
      <c r="J47" s="12"/>
      <c r="K47" s="12"/>
      <c r="L47" s="28" t="str">
        <f aca="false">IF(AND(ISNUMBER(J47),ISNUMBER(K47),N(J47)&gt;0),1-K47/J47,"")</f>
        <v/>
      </c>
      <c r="M47" s="29"/>
      <c r="N47" s="30"/>
      <c r="O47" s="30"/>
      <c r="P47" s="11"/>
      <c r="Q47" s="31"/>
      <c r="R47" s="11"/>
      <c r="S47" s="11"/>
      <c r="T47" s="11"/>
      <c r="U47" s="32" t="str">
        <f aca="false">IF((LEN(A47)+LEN(B47)+LEN(C47)+LEN(D47)+LEN(E47)+LEN(F47)+LEN(G47)+LEN(H47)+LEN(I47)+LEN(J47)+LEN(K47)+LEN(M47)+LEN(N47)+LEN(O47)+LEN(P47)+LEN(Q47)+LEN(R47)+LEN(S47)+LEN(T47))=0,"",IF(OR(A47="",B47="",C47="",D47="",E47="",J47="",K47="",N47=""),"⚠ Champ obligatoire manquant",IF(AND(ISNUMBER(K47),ISNUMBER(J47),N(K47)&gt;N(J47)),"⚠ Prix Autopiec &gt; prix public",IF(COUNTIFS($A$2:$A$1001,A47,$B$2:$B$1001,B47)&gt;1,"⚠ Référence en double","✔ OK"))))</f>
        <v/>
      </c>
    </row>
    <row r="48" customFormat="false" ht="15" hidden="false" customHeight="false" outlineLevel="0" collapsed="false">
      <c r="A48" s="11"/>
      <c r="B48" s="27"/>
      <c r="C48" s="11"/>
      <c r="D48" s="11"/>
      <c r="E48" s="11"/>
      <c r="F48" s="27"/>
      <c r="G48" s="27"/>
      <c r="H48" s="11"/>
      <c r="I48" s="11"/>
      <c r="J48" s="12"/>
      <c r="K48" s="12"/>
      <c r="L48" s="28" t="str">
        <f aca="false">IF(AND(ISNUMBER(J48),ISNUMBER(K48),N(J48)&gt;0),1-K48/J48,"")</f>
        <v/>
      </c>
      <c r="M48" s="29"/>
      <c r="N48" s="30"/>
      <c r="O48" s="30"/>
      <c r="P48" s="11"/>
      <c r="Q48" s="31"/>
      <c r="R48" s="11"/>
      <c r="S48" s="11"/>
      <c r="T48" s="11"/>
      <c r="U48" s="32" t="str">
        <f aca="false">IF((LEN(A48)+LEN(B48)+LEN(C48)+LEN(D48)+LEN(E48)+LEN(F48)+LEN(G48)+LEN(H48)+LEN(I48)+LEN(J48)+LEN(K48)+LEN(M48)+LEN(N48)+LEN(O48)+LEN(P48)+LEN(Q48)+LEN(R48)+LEN(S48)+LEN(T48))=0,"",IF(OR(A48="",B48="",C48="",D48="",E48="",J48="",K48="",N48=""),"⚠ Champ obligatoire manquant",IF(AND(ISNUMBER(K48),ISNUMBER(J48),N(K48)&gt;N(J48)),"⚠ Prix Autopiec &gt; prix public",IF(COUNTIFS($A$2:$A$1001,A48,$B$2:$B$1001,B48)&gt;1,"⚠ Référence en double","✔ OK"))))</f>
        <v/>
      </c>
    </row>
    <row r="49" customFormat="false" ht="15" hidden="false" customHeight="false" outlineLevel="0" collapsed="false">
      <c r="A49" s="11"/>
      <c r="B49" s="27"/>
      <c r="C49" s="11"/>
      <c r="D49" s="11"/>
      <c r="E49" s="11"/>
      <c r="F49" s="27"/>
      <c r="G49" s="27"/>
      <c r="H49" s="11"/>
      <c r="I49" s="11"/>
      <c r="J49" s="12"/>
      <c r="K49" s="12"/>
      <c r="L49" s="28" t="str">
        <f aca="false">IF(AND(ISNUMBER(J49),ISNUMBER(K49),N(J49)&gt;0),1-K49/J49,"")</f>
        <v/>
      </c>
      <c r="M49" s="29"/>
      <c r="N49" s="30"/>
      <c r="O49" s="30"/>
      <c r="P49" s="11"/>
      <c r="Q49" s="31"/>
      <c r="R49" s="11"/>
      <c r="S49" s="11"/>
      <c r="T49" s="11"/>
      <c r="U49" s="32" t="str">
        <f aca="false">IF((LEN(A49)+LEN(B49)+LEN(C49)+LEN(D49)+LEN(E49)+LEN(F49)+LEN(G49)+LEN(H49)+LEN(I49)+LEN(J49)+LEN(K49)+LEN(M49)+LEN(N49)+LEN(O49)+LEN(P49)+LEN(Q49)+LEN(R49)+LEN(S49)+LEN(T49))=0,"",IF(OR(A49="",B49="",C49="",D49="",E49="",J49="",K49="",N49=""),"⚠ Champ obligatoire manquant",IF(AND(ISNUMBER(K49),ISNUMBER(J49),N(K49)&gt;N(J49)),"⚠ Prix Autopiec &gt; prix public",IF(COUNTIFS($A$2:$A$1001,A49,$B$2:$B$1001,B49)&gt;1,"⚠ Référence en double","✔ OK"))))</f>
        <v/>
      </c>
    </row>
    <row r="50" customFormat="false" ht="15" hidden="false" customHeight="false" outlineLevel="0" collapsed="false">
      <c r="A50" s="11"/>
      <c r="B50" s="27"/>
      <c r="C50" s="11"/>
      <c r="D50" s="11"/>
      <c r="E50" s="11"/>
      <c r="F50" s="27"/>
      <c r="G50" s="27"/>
      <c r="H50" s="11"/>
      <c r="I50" s="11"/>
      <c r="J50" s="12"/>
      <c r="K50" s="12"/>
      <c r="L50" s="28" t="str">
        <f aca="false">IF(AND(ISNUMBER(J50),ISNUMBER(K50),N(J50)&gt;0),1-K50/J50,"")</f>
        <v/>
      </c>
      <c r="M50" s="29"/>
      <c r="N50" s="30"/>
      <c r="O50" s="30"/>
      <c r="P50" s="11"/>
      <c r="Q50" s="31"/>
      <c r="R50" s="11"/>
      <c r="S50" s="11"/>
      <c r="T50" s="11"/>
      <c r="U50" s="32" t="str">
        <f aca="false">IF((LEN(A50)+LEN(B50)+LEN(C50)+LEN(D50)+LEN(E50)+LEN(F50)+LEN(G50)+LEN(H50)+LEN(I50)+LEN(J50)+LEN(K50)+LEN(M50)+LEN(N50)+LEN(O50)+LEN(P50)+LEN(Q50)+LEN(R50)+LEN(S50)+LEN(T50))=0,"",IF(OR(A50="",B50="",C50="",D50="",E50="",J50="",K50="",N50=""),"⚠ Champ obligatoire manquant",IF(AND(ISNUMBER(K50),ISNUMBER(J50),N(K50)&gt;N(J50)),"⚠ Prix Autopiec &gt; prix public",IF(COUNTIFS($A$2:$A$1001,A50,$B$2:$B$1001,B50)&gt;1,"⚠ Référence en double","✔ OK"))))</f>
        <v/>
      </c>
    </row>
    <row r="51" customFormat="false" ht="15" hidden="false" customHeight="false" outlineLevel="0" collapsed="false">
      <c r="A51" s="11"/>
      <c r="B51" s="27"/>
      <c r="C51" s="11"/>
      <c r="D51" s="11"/>
      <c r="E51" s="11"/>
      <c r="F51" s="27"/>
      <c r="G51" s="27"/>
      <c r="H51" s="11"/>
      <c r="I51" s="11"/>
      <c r="J51" s="12"/>
      <c r="K51" s="12"/>
      <c r="L51" s="28" t="str">
        <f aca="false">IF(AND(ISNUMBER(J51),ISNUMBER(K51),N(J51)&gt;0),1-K51/J51,"")</f>
        <v/>
      </c>
      <c r="M51" s="29"/>
      <c r="N51" s="30"/>
      <c r="O51" s="30"/>
      <c r="P51" s="11"/>
      <c r="Q51" s="31"/>
      <c r="R51" s="11"/>
      <c r="S51" s="11"/>
      <c r="T51" s="11"/>
      <c r="U51" s="32" t="str">
        <f aca="false">IF((LEN(A51)+LEN(B51)+LEN(C51)+LEN(D51)+LEN(E51)+LEN(F51)+LEN(G51)+LEN(H51)+LEN(I51)+LEN(J51)+LEN(K51)+LEN(M51)+LEN(N51)+LEN(O51)+LEN(P51)+LEN(Q51)+LEN(R51)+LEN(S51)+LEN(T51))=0,"",IF(OR(A51="",B51="",C51="",D51="",E51="",J51="",K51="",N51=""),"⚠ Champ obligatoire manquant",IF(AND(ISNUMBER(K51),ISNUMBER(J51),N(K51)&gt;N(J51)),"⚠ Prix Autopiec &gt; prix public",IF(COUNTIFS($A$2:$A$1001,A51,$B$2:$B$1001,B51)&gt;1,"⚠ Référence en double","✔ OK"))))</f>
        <v/>
      </c>
    </row>
    <row r="52" customFormat="false" ht="15" hidden="false" customHeight="false" outlineLevel="0" collapsed="false">
      <c r="A52" s="11"/>
      <c r="B52" s="27"/>
      <c r="C52" s="11"/>
      <c r="D52" s="11"/>
      <c r="E52" s="11"/>
      <c r="F52" s="27"/>
      <c r="G52" s="27"/>
      <c r="H52" s="11"/>
      <c r="I52" s="11"/>
      <c r="J52" s="12"/>
      <c r="K52" s="12"/>
      <c r="L52" s="28" t="str">
        <f aca="false">IF(AND(ISNUMBER(J52),ISNUMBER(K52),N(J52)&gt;0),1-K52/J52,"")</f>
        <v/>
      </c>
      <c r="M52" s="29"/>
      <c r="N52" s="30"/>
      <c r="O52" s="30"/>
      <c r="P52" s="11"/>
      <c r="Q52" s="31"/>
      <c r="R52" s="11"/>
      <c r="S52" s="11"/>
      <c r="T52" s="11"/>
      <c r="U52" s="32" t="str">
        <f aca="false">IF((LEN(A52)+LEN(B52)+LEN(C52)+LEN(D52)+LEN(E52)+LEN(F52)+LEN(G52)+LEN(H52)+LEN(I52)+LEN(J52)+LEN(K52)+LEN(M52)+LEN(N52)+LEN(O52)+LEN(P52)+LEN(Q52)+LEN(R52)+LEN(S52)+LEN(T52))=0,"",IF(OR(A52="",B52="",C52="",D52="",E52="",J52="",K52="",N52=""),"⚠ Champ obligatoire manquant",IF(AND(ISNUMBER(K52),ISNUMBER(J52),N(K52)&gt;N(J52)),"⚠ Prix Autopiec &gt; prix public",IF(COUNTIFS($A$2:$A$1001,A52,$B$2:$B$1001,B52)&gt;1,"⚠ Référence en double","✔ OK"))))</f>
        <v/>
      </c>
    </row>
    <row r="53" customFormat="false" ht="15" hidden="false" customHeight="false" outlineLevel="0" collapsed="false">
      <c r="A53" s="11"/>
      <c r="B53" s="27"/>
      <c r="C53" s="11"/>
      <c r="D53" s="11"/>
      <c r="E53" s="11"/>
      <c r="F53" s="27"/>
      <c r="G53" s="27"/>
      <c r="H53" s="11"/>
      <c r="I53" s="11"/>
      <c r="J53" s="12"/>
      <c r="K53" s="12"/>
      <c r="L53" s="28" t="str">
        <f aca="false">IF(AND(ISNUMBER(J53),ISNUMBER(K53),N(J53)&gt;0),1-K53/J53,"")</f>
        <v/>
      </c>
      <c r="M53" s="29"/>
      <c r="N53" s="30"/>
      <c r="O53" s="30"/>
      <c r="P53" s="11"/>
      <c r="Q53" s="31"/>
      <c r="R53" s="11"/>
      <c r="S53" s="11"/>
      <c r="T53" s="11"/>
      <c r="U53" s="32" t="str">
        <f aca="false">IF((LEN(A53)+LEN(B53)+LEN(C53)+LEN(D53)+LEN(E53)+LEN(F53)+LEN(G53)+LEN(H53)+LEN(I53)+LEN(J53)+LEN(K53)+LEN(M53)+LEN(N53)+LEN(O53)+LEN(P53)+LEN(Q53)+LEN(R53)+LEN(S53)+LEN(T53))=0,"",IF(OR(A53="",B53="",C53="",D53="",E53="",J53="",K53="",N53=""),"⚠ Champ obligatoire manquant",IF(AND(ISNUMBER(K53),ISNUMBER(J53),N(K53)&gt;N(J53)),"⚠ Prix Autopiec &gt; prix public",IF(COUNTIFS($A$2:$A$1001,A53,$B$2:$B$1001,B53)&gt;1,"⚠ Référence en double","✔ OK"))))</f>
        <v/>
      </c>
    </row>
    <row r="54" customFormat="false" ht="15" hidden="false" customHeight="false" outlineLevel="0" collapsed="false">
      <c r="A54" s="11"/>
      <c r="B54" s="27"/>
      <c r="C54" s="11"/>
      <c r="D54" s="11"/>
      <c r="E54" s="11"/>
      <c r="F54" s="27"/>
      <c r="G54" s="27"/>
      <c r="H54" s="11"/>
      <c r="I54" s="11"/>
      <c r="J54" s="12"/>
      <c r="K54" s="12"/>
      <c r="L54" s="28" t="str">
        <f aca="false">IF(AND(ISNUMBER(J54),ISNUMBER(K54),N(J54)&gt;0),1-K54/J54,"")</f>
        <v/>
      </c>
      <c r="M54" s="29"/>
      <c r="N54" s="30"/>
      <c r="O54" s="30"/>
      <c r="P54" s="11"/>
      <c r="Q54" s="31"/>
      <c r="R54" s="11"/>
      <c r="S54" s="11"/>
      <c r="T54" s="11"/>
      <c r="U54" s="32" t="str">
        <f aca="false">IF((LEN(A54)+LEN(B54)+LEN(C54)+LEN(D54)+LEN(E54)+LEN(F54)+LEN(G54)+LEN(H54)+LEN(I54)+LEN(J54)+LEN(K54)+LEN(M54)+LEN(N54)+LEN(O54)+LEN(P54)+LEN(Q54)+LEN(R54)+LEN(S54)+LEN(T54))=0,"",IF(OR(A54="",B54="",C54="",D54="",E54="",J54="",K54="",N54=""),"⚠ Champ obligatoire manquant",IF(AND(ISNUMBER(K54),ISNUMBER(J54),N(K54)&gt;N(J54)),"⚠ Prix Autopiec &gt; prix public",IF(COUNTIFS($A$2:$A$1001,A54,$B$2:$B$1001,B54)&gt;1,"⚠ Référence en double","✔ OK"))))</f>
        <v/>
      </c>
    </row>
    <row r="55" customFormat="false" ht="15" hidden="false" customHeight="false" outlineLevel="0" collapsed="false">
      <c r="A55" s="11"/>
      <c r="B55" s="27"/>
      <c r="C55" s="11"/>
      <c r="D55" s="11"/>
      <c r="E55" s="11"/>
      <c r="F55" s="27"/>
      <c r="G55" s="27"/>
      <c r="H55" s="11"/>
      <c r="I55" s="11"/>
      <c r="J55" s="12"/>
      <c r="K55" s="12"/>
      <c r="L55" s="28" t="str">
        <f aca="false">IF(AND(ISNUMBER(J55),ISNUMBER(K55),N(J55)&gt;0),1-K55/J55,"")</f>
        <v/>
      </c>
      <c r="M55" s="29"/>
      <c r="N55" s="30"/>
      <c r="O55" s="30"/>
      <c r="P55" s="11"/>
      <c r="Q55" s="31"/>
      <c r="R55" s="11"/>
      <c r="S55" s="11"/>
      <c r="T55" s="11"/>
      <c r="U55" s="32" t="str">
        <f aca="false">IF((LEN(A55)+LEN(B55)+LEN(C55)+LEN(D55)+LEN(E55)+LEN(F55)+LEN(G55)+LEN(H55)+LEN(I55)+LEN(J55)+LEN(K55)+LEN(M55)+LEN(N55)+LEN(O55)+LEN(P55)+LEN(Q55)+LEN(R55)+LEN(S55)+LEN(T55))=0,"",IF(OR(A55="",B55="",C55="",D55="",E55="",J55="",K55="",N55=""),"⚠ Champ obligatoire manquant",IF(AND(ISNUMBER(K55),ISNUMBER(J55),N(K55)&gt;N(J55)),"⚠ Prix Autopiec &gt; prix public",IF(COUNTIFS($A$2:$A$1001,A55,$B$2:$B$1001,B55)&gt;1,"⚠ Référence en double","✔ OK"))))</f>
        <v/>
      </c>
    </row>
    <row r="56" customFormat="false" ht="15" hidden="false" customHeight="false" outlineLevel="0" collapsed="false">
      <c r="A56" s="11"/>
      <c r="B56" s="27"/>
      <c r="C56" s="11"/>
      <c r="D56" s="11"/>
      <c r="E56" s="11"/>
      <c r="F56" s="27"/>
      <c r="G56" s="27"/>
      <c r="H56" s="11"/>
      <c r="I56" s="11"/>
      <c r="J56" s="12"/>
      <c r="K56" s="12"/>
      <c r="L56" s="28" t="str">
        <f aca="false">IF(AND(ISNUMBER(J56),ISNUMBER(K56),N(J56)&gt;0),1-K56/J56,"")</f>
        <v/>
      </c>
      <c r="M56" s="29"/>
      <c r="N56" s="30"/>
      <c r="O56" s="30"/>
      <c r="P56" s="11"/>
      <c r="Q56" s="31"/>
      <c r="R56" s="11"/>
      <c r="S56" s="11"/>
      <c r="T56" s="11"/>
      <c r="U56" s="32" t="str">
        <f aca="false">IF((LEN(A56)+LEN(B56)+LEN(C56)+LEN(D56)+LEN(E56)+LEN(F56)+LEN(G56)+LEN(H56)+LEN(I56)+LEN(J56)+LEN(K56)+LEN(M56)+LEN(N56)+LEN(O56)+LEN(P56)+LEN(Q56)+LEN(R56)+LEN(S56)+LEN(T56))=0,"",IF(OR(A56="",B56="",C56="",D56="",E56="",J56="",K56="",N56=""),"⚠ Champ obligatoire manquant",IF(AND(ISNUMBER(K56),ISNUMBER(J56),N(K56)&gt;N(J56)),"⚠ Prix Autopiec &gt; prix public",IF(COUNTIFS($A$2:$A$1001,A56,$B$2:$B$1001,B56)&gt;1,"⚠ Référence en double","✔ OK"))))</f>
        <v/>
      </c>
    </row>
    <row r="57" customFormat="false" ht="15" hidden="false" customHeight="false" outlineLevel="0" collapsed="false">
      <c r="A57" s="11"/>
      <c r="B57" s="27"/>
      <c r="C57" s="11"/>
      <c r="D57" s="11"/>
      <c r="E57" s="11"/>
      <c r="F57" s="27"/>
      <c r="G57" s="27"/>
      <c r="H57" s="11"/>
      <c r="I57" s="11"/>
      <c r="J57" s="12"/>
      <c r="K57" s="12"/>
      <c r="L57" s="28" t="str">
        <f aca="false">IF(AND(ISNUMBER(J57),ISNUMBER(K57),N(J57)&gt;0),1-K57/J57,"")</f>
        <v/>
      </c>
      <c r="M57" s="29"/>
      <c r="N57" s="30"/>
      <c r="O57" s="30"/>
      <c r="P57" s="11"/>
      <c r="Q57" s="31"/>
      <c r="R57" s="11"/>
      <c r="S57" s="11"/>
      <c r="T57" s="11"/>
      <c r="U57" s="32" t="str">
        <f aca="false">IF((LEN(A57)+LEN(B57)+LEN(C57)+LEN(D57)+LEN(E57)+LEN(F57)+LEN(G57)+LEN(H57)+LEN(I57)+LEN(J57)+LEN(K57)+LEN(M57)+LEN(N57)+LEN(O57)+LEN(P57)+LEN(Q57)+LEN(R57)+LEN(S57)+LEN(T57))=0,"",IF(OR(A57="",B57="",C57="",D57="",E57="",J57="",K57="",N57=""),"⚠ Champ obligatoire manquant",IF(AND(ISNUMBER(K57),ISNUMBER(J57),N(K57)&gt;N(J57)),"⚠ Prix Autopiec &gt; prix public",IF(COUNTIFS($A$2:$A$1001,A57,$B$2:$B$1001,B57)&gt;1,"⚠ Référence en double","✔ OK"))))</f>
        <v/>
      </c>
    </row>
    <row r="58" customFormat="false" ht="15" hidden="false" customHeight="false" outlineLevel="0" collapsed="false">
      <c r="A58" s="11"/>
      <c r="B58" s="27"/>
      <c r="C58" s="11"/>
      <c r="D58" s="11"/>
      <c r="E58" s="11"/>
      <c r="F58" s="27"/>
      <c r="G58" s="27"/>
      <c r="H58" s="11"/>
      <c r="I58" s="11"/>
      <c r="J58" s="12"/>
      <c r="K58" s="12"/>
      <c r="L58" s="28" t="str">
        <f aca="false">IF(AND(ISNUMBER(J58),ISNUMBER(K58),N(J58)&gt;0),1-K58/J58,"")</f>
        <v/>
      </c>
      <c r="M58" s="29"/>
      <c r="N58" s="30"/>
      <c r="O58" s="30"/>
      <c r="P58" s="11"/>
      <c r="Q58" s="31"/>
      <c r="R58" s="11"/>
      <c r="S58" s="11"/>
      <c r="T58" s="11"/>
      <c r="U58" s="32" t="str">
        <f aca="false">IF((LEN(A58)+LEN(B58)+LEN(C58)+LEN(D58)+LEN(E58)+LEN(F58)+LEN(G58)+LEN(H58)+LEN(I58)+LEN(J58)+LEN(K58)+LEN(M58)+LEN(N58)+LEN(O58)+LEN(P58)+LEN(Q58)+LEN(R58)+LEN(S58)+LEN(T58))=0,"",IF(OR(A58="",B58="",C58="",D58="",E58="",J58="",K58="",N58=""),"⚠ Champ obligatoire manquant",IF(AND(ISNUMBER(K58),ISNUMBER(J58),N(K58)&gt;N(J58)),"⚠ Prix Autopiec &gt; prix public",IF(COUNTIFS($A$2:$A$1001,A58,$B$2:$B$1001,B58)&gt;1,"⚠ Référence en double","✔ OK"))))</f>
        <v/>
      </c>
    </row>
    <row r="59" customFormat="false" ht="15" hidden="false" customHeight="false" outlineLevel="0" collapsed="false">
      <c r="A59" s="11"/>
      <c r="B59" s="27"/>
      <c r="C59" s="11"/>
      <c r="D59" s="11"/>
      <c r="E59" s="11"/>
      <c r="F59" s="27"/>
      <c r="G59" s="27"/>
      <c r="H59" s="11"/>
      <c r="I59" s="11"/>
      <c r="J59" s="12"/>
      <c r="K59" s="12"/>
      <c r="L59" s="28" t="str">
        <f aca="false">IF(AND(ISNUMBER(J59),ISNUMBER(K59),N(J59)&gt;0),1-K59/J59,"")</f>
        <v/>
      </c>
      <c r="M59" s="29"/>
      <c r="N59" s="30"/>
      <c r="O59" s="30"/>
      <c r="P59" s="11"/>
      <c r="Q59" s="31"/>
      <c r="R59" s="11"/>
      <c r="S59" s="11"/>
      <c r="T59" s="11"/>
      <c r="U59" s="32" t="str">
        <f aca="false">IF((LEN(A59)+LEN(B59)+LEN(C59)+LEN(D59)+LEN(E59)+LEN(F59)+LEN(G59)+LEN(H59)+LEN(I59)+LEN(J59)+LEN(K59)+LEN(M59)+LEN(N59)+LEN(O59)+LEN(P59)+LEN(Q59)+LEN(R59)+LEN(S59)+LEN(T59))=0,"",IF(OR(A59="",B59="",C59="",D59="",E59="",J59="",K59="",N59=""),"⚠ Champ obligatoire manquant",IF(AND(ISNUMBER(K59),ISNUMBER(J59),N(K59)&gt;N(J59)),"⚠ Prix Autopiec &gt; prix public",IF(COUNTIFS($A$2:$A$1001,A59,$B$2:$B$1001,B59)&gt;1,"⚠ Référence en double","✔ OK"))))</f>
        <v/>
      </c>
    </row>
    <row r="60" customFormat="false" ht="15" hidden="false" customHeight="false" outlineLevel="0" collapsed="false">
      <c r="A60" s="11"/>
      <c r="B60" s="27"/>
      <c r="C60" s="11"/>
      <c r="D60" s="11"/>
      <c r="E60" s="11"/>
      <c r="F60" s="27"/>
      <c r="G60" s="27"/>
      <c r="H60" s="11"/>
      <c r="I60" s="11"/>
      <c r="J60" s="12"/>
      <c r="K60" s="12"/>
      <c r="L60" s="28" t="str">
        <f aca="false">IF(AND(ISNUMBER(J60),ISNUMBER(K60),N(J60)&gt;0),1-K60/J60,"")</f>
        <v/>
      </c>
      <c r="M60" s="29"/>
      <c r="N60" s="30"/>
      <c r="O60" s="30"/>
      <c r="P60" s="11"/>
      <c r="Q60" s="31"/>
      <c r="R60" s="11"/>
      <c r="S60" s="11"/>
      <c r="T60" s="11"/>
      <c r="U60" s="32" t="str">
        <f aca="false">IF((LEN(A60)+LEN(B60)+LEN(C60)+LEN(D60)+LEN(E60)+LEN(F60)+LEN(G60)+LEN(H60)+LEN(I60)+LEN(J60)+LEN(K60)+LEN(M60)+LEN(N60)+LEN(O60)+LEN(P60)+LEN(Q60)+LEN(R60)+LEN(S60)+LEN(T60))=0,"",IF(OR(A60="",B60="",C60="",D60="",E60="",J60="",K60="",N60=""),"⚠ Champ obligatoire manquant",IF(AND(ISNUMBER(K60),ISNUMBER(J60),N(K60)&gt;N(J60)),"⚠ Prix Autopiec &gt; prix public",IF(COUNTIFS($A$2:$A$1001,A60,$B$2:$B$1001,B60)&gt;1,"⚠ Référence en double","✔ OK"))))</f>
        <v/>
      </c>
    </row>
    <row r="61" customFormat="false" ht="15" hidden="false" customHeight="false" outlineLevel="0" collapsed="false">
      <c r="A61" s="11"/>
      <c r="B61" s="27"/>
      <c r="C61" s="11"/>
      <c r="D61" s="11"/>
      <c r="E61" s="11"/>
      <c r="F61" s="27"/>
      <c r="G61" s="27"/>
      <c r="H61" s="11"/>
      <c r="I61" s="11"/>
      <c r="J61" s="12"/>
      <c r="K61" s="12"/>
      <c r="L61" s="28" t="str">
        <f aca="false">IF(AND(ISNUMBER(J61),ISNUMBER(K61),N(J61)&gt;0),1-K61/J61,"")</f>
        <v/>
      </c>
      <c r="M61" s="29"/>
      <c r="N61" s="30"/>
      <c r="O61" s="30"/>
      <c r="P61" s="11"/>
      <c r="Q61" s="31"/>
      <c r="R61" s="11"/>
      <c r="S61" s="11"/>
      <c r="T61" s="11"/>
      <c r="U61" s="32" t="str">
        <f aca="false">IF((LEN(A61)+LEN(B61)+LEN(C61)+LEN(D61)+LEN(E61)+LEN(F61)+LEN(G61)+LEN(H61)+LEN(I61)+LEN(J61)+LEN(K61)+LEN(M61)+LEN(N61)+LEN(O61)+LEN(P61)+LEN(Q61)+LEN(R61)+LEN(S61)+LEN(T61))=0,"",IF(OR(A61="",B61="",C61="",D61="",E61="",J61="",K61="",N61=""),"⚠ Champ obligatoire manquant",IF(AND(ISNUMBER(K61),ISNUMBER(J61),N(K61)&gt;N(J61)),"⚠ Prix Autopiec &gt; prix public",IF(COUNTIFS($A$2:$A$1001,A61,$B$2:$B$1001,B61)&gt;1,"⚠ Référence en double","✔ OK"))))</f>
        <v/>
      </c>
    </row>
    <row r="62" customFormat="false" ht="15" hidden="false" customHeight="false" outlineLevel="0" collapsed="false">
      <c r="A62" s="11"/>
      <c r="B62" s="27"/>
      <c r="C62" s="11"/>
      <c r="D62" s="11"/>
      <c r="E62" s="11"/>
      <c r="F62" s="27"/>
      <c r="G62" s="27"/>
      <c r="H62" s="11"/>
      <c r="I62" s="11"/>
      <c r="J62" s="12"/>
      <c r="K62" s="12"/>
      <c r="L62" s="28" t="str">
        <f aca="false">IF(AND(ISNUMBER(J62),ISNUMBER(K62),N(J62)&gt;0),1-K62/J62,"")</f>
        <v/>
      </c>
      <c r="M62" s="29"/>
      <c r="N62" s="30"/>
      <c r="O62" s="30"/>
      <c r="P62" s="11"/>
      <c r="Q62" s="31"/>
      <c r="R62" s="11"/>
      <c r="S62" s="11"/>
      <c r="T62" s="11"/>
      <c r="U62" s="32" t="str">
        <f aca="false">IF((LEN(A62)+LEN(B62)+LEN(C62)+LEN(D62)+LEN(E62)+LEN(F62)+LEN(G62)+LEN(H62)+LEN(I62)+LEN(J62)+LEN(K62)+LEN(M62)+LEN(N62)+LEN(O62)+LEN(P62)+LEN(Q62)+LEN(R62)+LEN(S62)+LEN(T62))=0,"",IF(OR(A62="",B62="",C62="",D62="",E62="",J62="",K62="",N62=""),"⚠ Champ obligatoire manquant",IF(AND(ISNUMBER(K62),ISNUMBER(J62),N(K62)&gt;N(J62)),"⚠ Prix Autopiec &gt; prix public",IF(COUNTIFS($A$2:$A$1001,A62,$B$2:$B$1001,B62)&gt;1,"⚠ Référence en double","✔ OK"))))</f>
        <v/>
      </c>
    </row>
    <row r="63" customFormat="false" ht="15" hidden="false" customHeight="false" outlineLevel="0" collapsed="false">
      <c r="A63" s="11"/>
      <c r="B63" s="27"/>
      <c r="C63" s="11"/>
      <c r="D63" s="11"/>
      <c r="E63" s="11"/>
      <c r="F63" s="27"/>
      <c r="G63" s="27"/>
      <c r="H63" s="11"/>
      <c r="I63" s="11"/>
      <c r="J63" s="12"/>
      <c r="K63" s="12"/>
      <c r="L63" s="28" t="str">
        <f aca="false">IF(AND(ISNUMBER(J63),ISNUMBER(K63),N(J63)&gt;0),1-K63/J63,"")</f>
        <v/>
      </c>
      <c r="M63" s="29"/>
      <c r="N63" s="30"/>
      <c r="O63" s="30"/>
      <c r="P63" s="11"/>
      <c r="Q63" s="31"/>
      <c r="R63" s="11"/>
      <c r="S63" s="11"/>
      <c r="T63" s="11"/>
      <c r="U63" s="32" t="str">
        <f aca="false">IF((LEN(A63)+LEN(B63)+LEN(C63)+LEN(D63)+LEN(E63)+LEN(F63)+LEN(G63)+LEN(H63)+LEN(I63)+LEN(J63)+LEN(K63)+LEN(M63)+LEN(N63)+LEN(O63)+LEN(P63)+LEN(Q63)+LEN(R63)+LEN(S63)+LEN(T63))=0,"",IF(OR(A63="",B63="",C63="",D63="",E63="",J63="",K63="",N63=""),"⚠ Champ obligatoire manquant",IF(AND(ISNUMBER(K63),ISNUMBER(J63),N(K63)&gt;N(J63)),"⚠ Prix Autopiec &gt; prix public",IF(COUNTIFS($A$2:$A$1001,A63,$B$2:$B$1001,B63)&gt;1,"⚠ Référence en double","✔ OK"))))</f>
        <v/>
      </c>
    </row>
    <row r="64" customFormat="false" ht="15" hidden="false" customHeight="false" outlineLevel="0" collapsed="false">
      <c r="A64" s="11"/>
      <c r="B64" s="27"/>
      <c r="C64" s="11"/>
      <c r="D64" s="11"/>
      <c r="E64" s="11"/>
      <c r="F64" s="27"/>
      <c r="G64" s="27"/>
      <c r="H64" s="11"/>
      <c r="I64" s="11"/>
      <c r="J64" s="12"/>
      <c r="K64" s="12"/>
      <c r="L64" s="28" t="str">
        <f aca="false">IF(AND(ISNUMBER(J64),ISNUMBER(K64),N(J64)&gt;0),1-K64/J64,"")</f>
        <v/>
      </c>
      <c r="M64" s="29"/>
      <c r="N64" s="30"/>
      <c r="O64" s="30"/>
      <c r="P64" s="11"/>
      <c r="Q64" s="31"/>
      <c r="R64" s="11"/>
      <c r="S64" s="11"/>
      <c r="T64" s="11"/>
      <c r="U64" s="32" t="str">
        <f aca="false">IF((LEN(A64)+LEN(B64)+LEN(C64)+LEN(D64)+LEN(E64)+LEN(F64)+LEN(G64)+LEN(H64)+LEN(I64)+LEN(J64)+LEN(K64)+LEN(M64)+LEN(N64)+LEN(O64)+LEN(P64)+LEN(Q64)+LEN(R64)+LEN(S64)+LEN(T64))=0,"",IF(OR(A64="",B64="",C64="",D64="",E64="",J64="",K64="",N64=""),"⚠ Champ obligatoire manquant",IF(AND(ISNUMBER(K64),ISNUMBER(J64),N(K64)&gt;N(J64)),"⚠ Prix Autopiec &gt; prix public",IF(COUNTIFS($A$2:$A$1001,A64,$B$2:$B$1001,B64)&gt;1,"⚠ Référence en double","✔ OK"))))</f>
        <v/>
      </c>
    </row>
    <row r="65" customFormat="false" ht="15" hidden="false" customHeight="false" outlineLevel="0" collapsed="false">
      <c r="A65" s="11"/>
      <c r="B65" s="27"/>
      <c r="C65" s="11"/>
      <c r="D65" s="11"/>
      <c r="E65" s="11"/>
      <c r="F65" s="27"/>
      <c r="G65" s="27"/>
      <c r="H65" s="11"/>
      <c r="I65" s="11"/>
      <c r="J65" s="12"/>
      <c r="K65" s="12"/>
      <c r="L65" s="28" t="str">
        <f aca="false">IF(AND(ISNUMBER(J65),ISNUMBER(K65),N(J65)&gt;0),1-K65/J65,"")</f>
        <v/>
      </c>
      <c r="M65" s="29"/>
      <c r="N65" s="30"/>
      <c r="O65" s="30"/>
      <c r="P65" s="11"/>
      <c r="Q65" s="31"/>
      <c r="R65" s="11"/>
      <c r="S65" s="11"/>
      <c r="T65" s="11"/>
      <c r="U65" s="32" t="str">
        <f aca="false">IF((LEN(A65)+LEN(B65)+LEN(C65)+LEN(D65)+LEN(E65)+LEN(F65)+LEN(G65)+LEN(H65)+LEN(I65)+LEN(J65)+LEN(K65)+LEN(M65)+LEN(N65)+LEN(O65)+LEN(P65)+LEN(Q65)+LEN(R65)+LEN(S65)+LEN(T65))=0,"",IF(OR(A65="",B65="",C65="",D65="",E65="",J65="",K65="",N65=""),"⚠ Champ obligatoire manquant",IF(AND(ISNUMBER(K65),ISNUMBER(J65),N(K65)&gt;N(J65)),"⚠ Prix Autopiec &gt; prix public",IF(COUNTIFS($A$2:$A$1001,A65,$B$2:$B$1001,B65)&gt;1,"⚠ Référence en double","✔ OK"))))</f>
        <v/>
      </c>
    </row>
    <row r="66" customFormat="false" ht="15" hidden="false" customHeight="false" outlineLevel="0" collapsed="false">
      <c r="A66" s="11"/>
      <c r="B66" s="27"/>
      <c r="C66" s="11"/>
      <c r="D66" s="11"/>
      <c r="E66" s="11"/>
      <c r="F66" s="27"/>
      <c r="G66" s="27"/>
      <c r="H66" s="11"/>
      <c r="I66" s="11"/>
      <c r="J66" s="12"/>
      <c r="K66" s="12"/>
      <c r="L66" s="28" t="str">
        <f aca="false">IF(AND(ISNUMBER(J66),ISNUMBER(K66),N(J66)&gt;0),1-K66/J66,"")</f>
        <v/>
      </c>
      <c r="M66" s="29"/>
      <c r="N66" s="30"/>
      <c r="O66" s="30"/>
      <c r="P66" s="11"/>
      <c r="Q66" s="31"/>
      <c r="R66" s="11"/>
      <c r="S66" s="11"/>
      <c r="T66" s="11"/>
      <c r="U66" s="32" t="str">
        <f aca="false">IF((LEN(A66)+LEN(B66)+LEN(C66)+LEN(D66)+LEN(E66)+LEN(F66)+LEN(G66)+LEN(H66)+LEN(I66)+LEN(J66)+LEN(K66)+LEN(M66)+LEN(N66)+LEN(O66)+LEN(P66)+LEN(Q66)+LEN(R66)+LEN(S66)+LEN(T66))=0,"",IF(OR(A66="",B66="",C66="",D66="",E66="",J66="",K66="",N66=""),"⚠ Champ obligatoire manquant",IF(AND(ISNUMBER(K66),ISNUMBER(J66),N(K66)&gt;N(J66)),"⚠ Prix Autopiec &gt; prix public",IF(COUNTIFS($A$2:$A$1001,A66,$B$2:$B$1001,B66)&gt;1,"⚠ Référence en double","✔ OK"))))</f>
        <v/>
      </c>
    </row>
    <row r="67" customFormat="false" ht="15" hidden="false" customHeight="false" outlineLevel="0" collapsed="false">
      <c r="A67" s="11"/>
      <c r="B67" s="27"/>
      <c r="C67" s="11"/>
      <c r="D67" s="11"/>
      <c r="E67" s="11"/>
      <c r="F67" s="27"/>
      <c r="G67" s="27"/>
      <c r="H67" s="11"/>
      <c r="I67" s="11"/>
      <c r="J67" s="12"/>
      <c r="K67" s="12"/>
      <c r="L67" s="28" t="str">
        <f aca="false">IF(AND(ISNUMBER(J67),ISNUMBER(K67),N(J67)&gt;0),1-K67/J67,"")</f>
        <v/>
      </c>
      <c r="M67" s="29"/>
      <c r="N67" s="30"/>
      <c r="O67" s="30"/>
      <c r="P67" s="11"/>
      <c r="Q67" s="31"/>
      <c r="R67" s="11"/>
      <c r="S67" s="11"/>
      <c r="T67" s="11"/>
      <c r="U67" s="32" t="str">
        <f aca="false">IF((LEN(A67)+LEN(B67)+LEN(C67)+LEN(D67)+LEN(E67)+LEN(F67)+LEN(G67)+LEN(H67)+LEN(I67)+LEN(J67)+LEN(K67)+LEN(M67)+LEN(N67)+LEN(O67)+LEN(P67)+LEN(Q67)+LEN(R67)+LEN(S67)+LEN(T67))=0,"",IF(OR(A67="",B67="",C67="",D67="",E67="",J67="",K67="",N67=""),"⚠ Champ obligatoire manquant",IF(AND(ISNUMBER(K67),ISNUMBER(J67),N(K67)&gt;N(J67)),"⚠ Prix Autopiec &gt; prix public",IF(COUNTIFS($A$2:$A$1001,A67,$B$2:$B$1001,B67)&gt;1,"⚠ Référence en double","✔ OK"))))</f>
        <v/>
      </c>
    </row>
    <row r="68" customFormat="false" ht="15" hidden="false" customHeight="false" outlineLevel="0" collapsed="false">
      <c r="A68" s="11"/>
      <c r="B68" s="27"/>
      <c r="C68" s="11"/>
      <c r="D68" s="11"/>
      <c r="E68" s="11"/>
      <c r="F68" s="27"/>
      <c r="G68" s="27"/>
      <c r="H68" s="11"/>
      <c r="I68" s="11"/>
      <c r="J68" s="12"/>
      <c r="K68" s="12"/>
      <c r="L68" s="28" t="str">
        <f aca="false">IF(AND(ISNUMBER(J68),ISNUMBER(K68),N(J68)&gt;0),1-K68/J68,"")</f>
        <v/>
      </c>
      <c r="M68" s="29"/>
      <c r="N68" s="30"/>
      <c r="O68" s="30"/>
      <c r="P68" s="11"/>
      <c r="Q68" s="31"/>
      <c r="R68" s="11"/>
      <c r="S68" s="11"/>
      <c r="T68" s="11"/>
      <c r="U68" s="32" t="str">
        <f aca="false">IF((LEN(A68)+LEN(B68)+LEN(C68)+LEN(D68)+LEN(E68)+LEN(F68)+LEN(G68)+LEN(H68)+LEN(I68)+LEN(J68)+LEN(K68)+LEN(M68)+LEN(N68)+LEN(O68)+LEN(P68)+LEN(Q68)+LEN(R68)+LEN(S68)+LEN(T68))=0,"",IF(OR(A68="",B68="",C68="",D68="",E68="",J68="",K68="",N68=""),"⚠ Champ obligatoire manquant",IF(AND(ISNUMBER(K68),ISNUMBER(J68),N(K68)&gt;N(J68)),"⚠ Prix Autopiec &gt; prix public",IF(COUNTIFS($A$2:$A$1001,A68,$B$2:$B$1001,B68)&gt;1,"⚠ Référence en double","✔ OK"))))</f>
        <v/>
      </c>
    </row>
    <row r="69" customFormat="false" ht="15" hidden="false" customHeight="false" outlineLevel="0" collapsed="false">
      <c r="A69" s="11"/>
      <c r="B69" s="27"/>
      <c r="C69" s="11"/>
      <c r="D69" s="11"/>
      <c r="E69" s="11"/>
      <c r="F69" s="27"/>
      <c r="G69" s="27"/>
      <c r="H69" s="11"/>
      <c r="I69" s="11"/>
      <c r="J69" s="12"/>
      <c r="K69" s="12"/>
      <c r="L69" s="28" t="str">
        <f aca="false">IF(AND(ISNUMBER(J69),ISNUMBER(K69),N(J69)&gt;0),1-K69/J69,"")</f>
        <v/>
      </c>
      <c r="M69" s="29"/>
      <c r="N69" s="30"/>
      <c r="O69" s="30"/>
      <c r="P69" s="11"/>
      <c r="Q69" s="31"/>
      <c r="R69" s="11"/>
      <c r="S69" s="11"/>
      <c r="T69" s="11"/>
      <c r="U69" s="32" t="str">
        <f aca="false">IF((LEN(A69)+LEN(B69)+LEN(C69)+LEN(D69)+LEN(E69)+LEN(F69)+LEN(G69)+LEN(H69)+LEN(I69)+LEN(J69)+LEN(K69)+LEN(M69)+LEN(N69)+LEN(O69)+LEN(P69)+LEN(Q69)+LEN(R69)+LEN(S69)+LEN(T69))=0,"",IF(OR(A69="",B69="",C69="",D69="",E69="",J69="",K69="",N69=""),"⚠ Champ obligatoire manquant",IF(AND(ISNUMBER(K69),ISNUMBER(J69),N(K69)&gt;N(J69)),"⚠ Prix Autopiec &gt; prix public",IF(COUNTIFS($A$2:$A$1001,A69,$B$2:$B$1001,B69)&gt;1,"⚠ Référence en double","✔ OK"))))</f>
        <v/>
      </c>
    </row>
    <row r="70" customFormat="false" ht="15" hidden="false" customHeight="false" outlineLevel="0" collapsed="false">
      <c r="A70" s="11"/>
      <c r="B70" s="27"/>
      <c r="C70" s="11"/>
      <c r="D70" s="11"/>
      <c r="E70" s="11"/>
      <c r="F70" s="27"/>
      <c r="G70" s="27"/>
      <c r="H70" s="11"/>
      <c r="I70" s="11"/>
      <c r="J70" s="12"/>
      <c r="K70" s="12"/>
      <c r="L70" s="28" t="str">
        <f aca="false">IF(AND(ISNUMBER(J70),ISNUMBER(K70),N(J70)&gt;0),1-K70/J70,"")</f>
        <v/>
      </c>
      <c r="M70" s="29"/>
      <c r="N70" s="30"/>
      <c r="O70" s="30"/>
      <c r="P70" s="11"/>
      <c r="Q70" s="31"/>
      <c r="R70" s="11"/>
      <c r="S70" s="11"/>
      <c r="T70" s="11"/>
      <c r="U70" s="32" t="str">
        <f aca="false">IF((LEN(A70)+LEN(B70)+LEN(C70)+LEN(D70)+LEN(E70)+LEN(F70)+LEN(G70)+LEN(H70)+LEN(I70)+LEN(J70)+LEN(K70)+LEN(M70)+LEN(N70)+LEN(O70)+LEN(P70)+LEN(Q70)+LEN(R70)+LEN(S70)+LEN(T70))=0,"",IF(OR(A70="",B70="",C70="",D70="",E70="",J70="",K70="",N70=""),"⚠ Champ obligatoire manquant",IF(AND(ISNUMBER(K70),ISNUMBER(J70),N(K70)&gt;N(J70)),"⚠ Prix Autopiec &gt; prix public",IF(COUNTIFS($A$2:$A$1001,A70,$B$2:$B$1001,B70)&gt;1,"⚠ Référence en double","✔ OK"))))</f>
        <v/>
      </c>
    </row>
    <row r="71" customFormat="false" ht="15" hidden="false" customHeight="false" outlineLevel="0" collapsed="false">
      <c r="A71" s="11"/>
      <c r="B71" s="27"/>
      <c r="C71" s="11"/>
      <c r="D71" s="11"/>
      <c r="E71" s="11"/>
      <c r="F71" s="27"/>
      <c r="G71" s="27"/>
      <c r="H71" s="11"/>
      <c r="I71" s="11"/>
      <c r="J71" s="12"/>
      <c r="K71" s="12"/>
      <c r="L71" s="28" t="str">
        <f aca="false">IF(AND(ISNUMBER(J71),ISNUMBER(K71),N(J71)&gt;0),1-K71/J71,"")</f>
        <v/>
      </c>
      <c r="M71" s="29"/>
      <c r="N71" s="30"/>
      <c r="O71" s="30"/>
      <c r="P71" s="11"/>
      <c r="Q71" s="31"/>
      <c r="R71" s="11"/>
      <c r="S71" s="11"/>
      <c r="T71" s="11"/>
      <c r="U71" s="32" t="str">
        <f aca="false">IF((LEN(A71)+LEN(B71)+LEN(C71)+LEN(D71)+LEN(E71)+LEN(F71)+LEN(G71)+LEN(H71)+LEN(I71)+LEN(J71)+LEN(K71)+LEN(M71)+LEN(N71)+LEN(O71)+LEN(P71)+LEN(Q71)+LEN(R71)+LEN(S71)+LEN(T71))=0,"",IF(OR(A71="",B71="",C71="",D71="",E71="",J71="",K71="",N71=""),"⚠ Champ obligatoire manquant",IF(AND(ISNUMBER(K71),ISNUMBER(J71),N(K71)&gt;N(J71)),"⚠ Prix Autopiec &gt; prix public",IF(COUNTIFS($A$2:$A$1001,A71,$B$2:$B$1001,B71)&gt;1,"⚠ Référence en double","✔ OK"))))</f>
        <v/>
      </c>
    </row>
    <row r="72" customFormat="false" ht="15" hidden="false" customHeight="false" outlineLevel="0" collapsed="false">
      <c r="A72" s="11"/>
      <c r="B72" s="27"/>
      <c r="C72" s="11"/>
      <c r="D72" s="11"/>
      <c r="E72" s="11"/>
      <c r="F72" s="27"/>
      <c r="G72" s="27"/>
      <c r="H72" s="11"/>
      <c r="I72" s="11"/>
      <c r="J72" s="12"/>
      <c r="K72" s="12"/>
      <c r="L72" s="28" t="str">
        <f aca="false">IF(AND(ISNUMBER(J72),ISNUMBER(K72),N(J72)&gt;0),1-K72/J72,"")</f>
        <v/>
      </c>
      <c r="M72" s="29"/>
      <c r="N72" s="30"/>
      <c r="O72" s="30"/>
      <c r="P72" s="11"/>
      <c r="Q72" s="31"/>
      <c r="R72" s="11"/>
      <c r="S72" s="11"/>
      <c r="T72" s="11"/>
      <c r="U72" s="32" t="str">
        <f aca="false">IF((LEN(A72)+LEN(B72)+LEN(C72)+LEN(D72)+LEN(E72)+LEN(F72)+LEN(G72)+LEN(H72)+LEN(I72)+LEN(J72)+LEN(K72)+LEN(M72)+LEN(N72)+LEN(O72)+LEN(P72)+LEN(Q72)+LEN(R72)+LEN(S72)+LEN(T72))=0,"",IF(OR(A72="",B72="",C72="",D72="",E72="",J72="",K72="",N72=""),"⚠ Champ obligatoire manquant",IF(AND(ISNUMBER(K72),ISNUMBER(J72),N(K72)&gt;N(J72)),"⚠ Prix Autopiec &gt; prix public",IF(COUNTIFS($A$2:$A$1001,A72,$B$2:$B$1001,B72)&gt;1,"⚠ Référence en double","✔ OK"))))</f>
        <v/>
      </c>
    </row>
    <row r="73" customFormat="false" ht="15" hidden="false" customHeight="false" outlineLevel="0" collapsed="false">
      <c r="A73" s="11"/>
      <c r="B73" s="27"/>
      <c r="C73" s="11"/>
      <c r="D73" s="11"/>
      <c r="E73" s="11"/>
      <c r="F73" s="27"/>
      <c r="G73" s="27"/>
      <c r="H73" s="11"/>
      <c r="I73" s="11"/>
      <c r="J73" s="12"/>
      <c r="K73" s="12"/>
      <c r="L73" s="28" t="str">
        <f aca="false">IF(AND(ISNUMBER(J73),ISNUMBER(K73),N(J73)&gt;0),1-K73/J73,"")</f>
        <v/>
      </c>
      <c r="M73" s="29"/>
      <c r="N73" s="30"/>
      <c r="O73" s="30"/>
      <c r="P73" s="11"/>
      <c r="Q73" s="31"/>
      <c r="R73" s="11"/>
      <c r="S73" s="11"/>
      <c r="T73" s="11"/>
      <c r="U73" s="32" t="str">
        <f aca="false">IF((LEN(A73)+LEN(B73)+LEN(C73)+LEN(D73)+LEN(E73)+LEN(F73)+LEN(G73)+LEN(H73)+LEN(I73)+LEN(J73)+LEN(K73)+LEN(M73)+LEN(N73)+LEN(O73)+LEN(P73)+LEN(Q73)+LEN(R73)+LEN(S73)+LEN(T73))=0,"",IF(OR(A73="",B73="",C73="",D73="",E73="",J73="",K73="",N73=""),"⚠ Champ obligatoire manquant",IF(AND(ISNUMBER(K73),ISNUMBER(J73),N(K73)&gt;N(J73)),"⚠ Prix Autopiec &gt; prix public",IF(COUNTIFS($A$2:$A$1001,A73,$B$2:$B$1001,B73)&gt;1,"⚠ Référence en double","✔ OK"))))</f>
        <v/>
      </c>
    </row>
    <row r="74" customFormat="false" ht="15" hidden="false" customHeight="false" outlineLevel="0" collapsed="false">
      <c r="A74" s="11"/>
      <c r="B74" s="27"/>
      <c r="C74" s="11"/>
      <c r="D74" s="11"/>
      <c r="E74" s="11"/>
      <c r="F74" s="27"/>
      <c r="G74" s="27"/>
      <c r="H74" s="11"/>
      <c r="I74" s="11"/>
      <c r="J74" s="12"/>
      <c r="K74" s="12"/>
      <c r="L74" s="28" t="str">
        <f aca="false">IF(AND(ISNUMBER(J74),ISNUMBER(K74),N(J74)&gt;0),1-K74/J74,"")</f>
        <v/>
      </c>
      <c r="M74" s="29"/>
      <c r="N74" s="30"/>
      <c r="O74" s="30"/>
      <c r="P74" s="11"/>
      <c r="Q74" s="31"/>
      <c r="R74" s="11"/>
      <c r="S74" s="11"/>
      <c r="T74" s="11"/>
      <c r="U74" s="32" t="str">
        <f aca="false">IF((LEN(A74)+LEN(B74)+LEN(C74)+LEN(D74)+LEN(E74)+LEN(F74)+LEN(G74)+LEN(H74)+LEN(I74)+LEN(J74)+LEN(K74)+LEN(M74)+LEN(N74)+LEN(O74)+LEN(P74)+LEN(Q74)+LEN(R74)+LEN(S74)+LEN(T74))=0,"",IF(OR(A74="",B74="",C74="",D74="",E74="",J74="",K74="",N74=""),"⚠ Champ obligatoire manquant",IF(AND(ISNUMBER(K74),ISNUMBER(J74),N(K74)&gt;N(J74)),"⚠ Prix Autopiec &gt; prix public",IF(COUNTIFS($A$2:$A$1001,A74,$B$2:$B$1001,B74)&gt;1,"⚠ Référence en double","✔ OK"))))</f>
        <v/>
      </c>
    </row>
    <row r="75" customFormat="false" ht="15" hidden="false" customHeight="false" outlineLevel="0" collapsed="false">
      <c r="A75" s="11"/>
      <c r="B75" s="27"/>
      <c r="C75" s="11"/>
      <c r="D75" s="11"/>
      <c r="E75" s="11"/>
      <c r="F75" s="27"/>
      <c r="G75" s="27"/>
      <c r="H75" s="11"/>
      <c r="I75" s="11"/>
      <c r="J75" s="12"/>
      <c r="K75" s="12"/>
      <c r="L75" s="28" t="str">
        <f aca="false">IF(AND(ISNUMBER(J75),ISNUMBER(K75),N(J75)&gt;0),1-K75/J75,"")</f>
        <v/>
      </c>
      <c r="M75" s="29"/>
      <c r="N75" s="30"/>
      <c r="O75" s="30"/>
      <c r="P75" s="11"/>
      <c r="Q75" s="31"/>
      <c r="R75" s="11"/>
      <c r="S75" s="11"/>
      <c r="T75" s="11"/>
      <c r="U75" s="32" t="str">
        <f aca="false">IF((LEN(A75)+LEN(B75)+LEN(C75)+LEN(D75)+LEN(E75)+LEN(F75)+LEN(G75)+LEN(H75)+LEN(I75)+LEN(J75)+LEN(K75)+LEN(M75)+LEN(N75)+LEN(O75)+LEN(P75)+LEN(Q75)+LEN(R75)+LEN(S75)+LEN(T75))=0,"",IF(OR(A75="",B75="",C75="",D75="",E75="",J75="",K75="",N75=""),"⚠ Champ obligatoire manquant",IF(AND(ISNUMBER(K75),ISNUMBER(J75),N(K75)&gt;N(J75)),"⚠ Prix Autopiec &gt; prix public",IF(COUNTIFS($A$2:$A$1001,A75,$B$2:$B$1001,B75)&gt;1,"⚠ Référence en double","✔ OK"))))</f>
        <v/>
      </c>
    </row>
    <row r="76" customFormat="false" ht="15" hidden="false" customHeight="false" outlineLevel="0" collapsed="false">
      <c r="A76" s="11"/>
      <c r="B76" s="27"/>
      <c r="C76" s="11"/>
      <c r="D76" s="11"/>
      <c r="E76" s="11"/>
      <c r="F76" s="27"/>
      <c r="G76" s="27"/>
      <c r="H76" s="11"/>
      <c r="I76" s="11"/>
      <c r="J76" s="12"/>
      <c r="K76" s="12"/>
      <c r="L76" s="28" t="str">
        <f aca="false">IF(AND(ISNUMBER(J76),ISNUMBER(K76),N(J76)&gt;0),1-K76/J76,"")</f>
        <v/>
      </c>
      <c r="M76" s="29"/>
      <c r="N76" s="30"/>
      <c r="O76" s="30"/>
      <c r="P76" s="11"/>
      <c r="Q76" s="31"/>
      <c r="R76" s="11"/>
      <c r="S76" s="11"/>
      <c r="T76" s="11"/>
      <c r="U76" s="32" t="str">
        <f aca="false">IF((LEN(A76)+LEN(B76)+LEN(C76)+LEN(D76)+LEN(E76)+LEN(F76)+LEN(G76)+LEN(H76)+LEN(I76)+LEN(J76)+LEN(K76)+LEN(M76)+LEN(N76)+LEN(O76)+LEN(P76)+LEN(Q76)+LEN(R76)+LEN(S76)+LEN(T76))=0,"",IF(OR(A76="",B76="",C76="",D76="",E76="",J76="",K76="",N76=""),"⚠ Champ obligatoire manquant",IF(AND(ISNUMBER(K76),ISNUMBER(J76),N(K76)&gt;N(J76)),"⚠ Prix Autopiec &gt; prix public",IF(COUNTIFS($A$2:$A$1001,A76,$B$2:$B$1001,B76)&gt;1,"⚠ Référence en double","✔ OK"))))</f>
        <v/>
      </c>
    </row>
    <row r="77" customFormat="false" ht="15" hidden="false" customHeight="false" outlineLevel="0" collapsed="false">
      <c r="A77" s="11"/>
      <c r="B77" s="27"/>
      <c r="C77" s="11"/>
      <c r="D77" s="11"/>
      <c r="E77" s="11"/>
      <c r="F77" s="27"/>
      <c r="G77" s="27"/>
      <c r="H77" s="11"/>
      <c r="I77" s="11"/>
      <c r="J77" s="12"/>
      <c r="K77" s="12"/>
      <c r="L77" s="28" t="str">
        <f aca="false">IF(AND(ISNUMBER(J77),ISNUMBER(K77),N(J77)&gt;0),1-K77/J77,"")</f>
        <v/>
      </c>
      <c r="M77" s="29"/>
      <c r="N77" s="30"/>
      <c r="O77" s="30"/>
      <c r="P77" s="11"/>
      <c r="Q77" s="31"/>
      <c r="R77" s="11"/>
      <c r="S77" s="11"/>
      <c r="T77" s="11"/>
      <c r="U77" s="32" t="str">
        <f aca="false">IF((LEN(A77)+LEN(B77)+LEN(C77)+LEN(D77)+LEN(E77)+LEN(F77)+LEN(G77)+LEN(H77)+LEN(I77)+LEN(J77)+LEN(K77)+LEN(M77)+LEN(N77)+LEN(O77)+LEN(P77)+LEN(Q77)+LEN(R77)+LEN(S77)+LEN(T77))=0,"",IF(OR(A77="",B77="",C77="",D77="",E77="",J77="",K77="",N77=""),"⚠ Champ obligatoire manquant",IF(AND(ISNUMBER(K77),ISNUMBER(J77),N(K77)&gt;N(J77)),"⚠ Prix Autopiec &gt; prix public",IF(COUNTIFS($A$2:$A$1001,A77,$B$2:$B$1001,B77)&gt;1,"⚠ Référence en double","✔ OK"))))</f>
        <v/>
      </c>
    </row>
    <row r="78" customFormat="false" ht="15" hidden="false" customHeight="false" outlineLevel="0" collapsed="false">
      <c r="A78" s="11"/>
      <c r="B78" s="27"/>
      <c r="C78" s="11"/>
      <c r="D78" s="11"/>
      <c r="E78" s="11"/>
      <c r="F78" s="27"/>
      <c r="G78" s="27"/>
      <c r="H78" s="11"/>
      <c r="I78" s="11"/>
      <c r="J78" s="12"/>
      <c r="K78" s="12"/>
      <c r="L78" s="28" t="str">
        <f aca="false">IF(AND(ISNUMBER(J78),ISNUMBER(K78),N(J78)&gt;0),1-K78/J78,"")</f>
        <v/>
      </c>
      <c r="M78" s="29"/>
      <c r="N78" s="30"/>
      <c r="O78" s="30"/>
      <c r="P78" s="11"/>
      <c r="Q78" s="31"/>
      <c r="R78" s="11"/>
      <c r="S78" s="11"/>
      <c r="T78" s="11"/>
      <c r="U78" s="32" t="str">
        <f aca="false">IF((LEN(A78)+LEN(B78)+LEN(C78)+LEN(D78)+LEN(E78)+LEN(F78)+LEN(G78)+LEN(H78)+LEN(I78)+LEN(J78)+LEN(K78)+LEN(M78)+LEN(N78)+LEN(O78)+LEN(P78)+LEN(Q78)+LEN(R78)+LEN(S78)+LEN(T78))=0,"",IF(OR(A78="",B78="",C78="",D78="",E78="",J78="",K78="",N78=""),"⚠ Champ obligatoire manquant",IF(AND(ISNUMBER(K78),ISNUMBER(J78),N(K78)&gt;N(J78)),"⚠ Prix Autopiec &gt; prix public",IF(COUNTIFS($A$2:$A$1001,A78,$B$2:$B$1001,B78)&gt;1,"⚠ Référence en double","✔ OK"))))</f>
        <v/>
      </c>
    </row>
    <row r="79" customFormat="false" ht="15" hidden="false" customHeight="false" outlineLevel="0" collapsed="false">
      <c r="A79" s="11"/>
      <c r="B79" s="27"/>
      <c r="C79" s="11"/>
      <c r="D79" s="11"/>
      <c r="E79" s="11"/>
      <c r="F79" s="27"/>
      <c r="G79" s="27"/>
      <c r="H79" s="11"/>
      <c r="I79" s="11"/>
      <c r="J79" s="12"/>
      <c r="K79" s="12"/>
      <c r="L79" s="28" t="str">
        <f aca="false">IF(AND(ISNUMBER(J79),ISNUMBER(K79),N(J79)&gt;0),1-K79/J79,"")</f>
        <v/>
      </c>
      <c r="M79" s="29"/>
      <c r="N79" s="30"/>
      <c r="O79" s="30"/>
      <c r="P79" s="11"/>
      <c r="Q79" s="31"/>
      <c r="R79" s="11"/>
      <c r="S79" s="11"/>
      <c r="T79" s="11"/>
      <c r="U79" s="32" t="str">
        <f aca="false">IF((LEN(A79)+LEN(B79)+LEN(C79)+LEN(D79)+LEN(E79)+LEN(F79)+LEN(G79)+LEN(H79)+LEN(I79)+LEN(J79)+LEN(K79)+LEN(M79)+LEN(N79)+LEN(O79)+LEN(P79)+LEN(Q79)+LEN(R79)+LEN(S79)+LEN(T79))=0,"",IF(OR(A79="",B79="",C79="",D79="",E79="",J79="",K79="",N79=""),"⚠ Champ obligatoire manquant",IF(AND(ISNUMBER(K79),ISNUMBER(J79),N(K79)&gt;N(J79)),"⚠ Prix Autopiec &gt; prix public",IF(COUNTIFS($A$2:$A$1001,A79,$B$2:$B$1001,B79)&gt;1,"⚠ Référence en double","✔ OK"))))</f>
        <v/>
      </c>
    </row>
    <row r="80" customFormat="false" ht="15" hidden="false" customHeight="false" outlineLevel="0" collapsed="false">
      <c r="A80" s="11"/>
      <c r="B80" s="27"/>
      <c r="C80" s="11"/>
      <c r="D80" s="11"/>
      <c r="E80" s="11"/>
      <c r="F80" s="27"/>
      <c r="G80" s="27"/>
      <c r="H80" s="11"/>
      <c r="I80" s="11"/>
      <c r="J80" s="12"/>
      <c r="K80" s="12"/>
      <c r="L80" s="28" t="str">
        <f aca="false">IF(AND(ISNUMBER(J80),ISNUMBER(K80),N(J80)&gt;0),1-K80/J80,"")</f>
        <v/>
      </c>
      <c r="M80" s="29"/>
      <c r="N80" s="30"/>
      <c r="O80" s="30"/>
      <c r="P80" s="11"/>
      <c r="Q80" s="31"/>
      <c r="R80" s="11"/>
      <c r="S80" s="11"/>
      <c r="T80" s="11"/>
      <c r="U80" s="32" t="str">
        <f aca="false">IF((LEN(A80)+LEN(B80)+LEN(C80)+LEN(D80)+LEN(E80)+LEN(F80)+LEN(G80)+LEN(H80)+LEN(I80)+LEN(J80)+LEN(K80)+LEN(M80)+LEN(N80)+LEN(O80)+LEN(P80)+LEN(Q80)+LEN(R80)+LEN(S80)+LEN(T80))=0,"",IF(OR(A80="",B80="",C80="",D80="",E80="",J80="",K80="",N80=""),"⚠ Champ obligatoire manquant",IF(AND(ISNUMBER(K80),ISNUMBER(J80),N(K80)&gt;N(J80)),"⚠ Prix Autopiec &gt; prix public",IF(COUNTIFS($A$2:$A$1001,A80,$B$2:$B$1001,B80)&gt;1,"⚠ Référence en double","✔ OK"))))</f>
        <v/>
      </c>
    </row>
    <row r="81" customFormat="false" ht="15" hidden="false" customHeight="false" outlineLevel="0" collapsed="false">
      <c r="A81" s="11"/>
      <c r="B81" s="27"/>
      <c r="C81" s="11"/>
      <c r="D81" s="11"/>
      <c r="E81" s="11"/>
      <c r="F81" s="27"/>
      <c r="G81" s="27"/>
      <c r="H81" s="11"/>
      <c r="I81" s="11"/>
      <c r="J81" s="12"/>
      <c r="K81" s="12"/>
      <c r="L81" s="28" t="str">
        <f aca="false">IF(AND(ISNUMBER(J81),ISNUMBER(K81),N(J81)&gt;0),1-K81/J81,"")</f>
        <v/>
      </c>
      <c r="M81" s="29"/>
      <c r="N81" s="30"/>
      <c r="O81" s="30"/>
      <c r="P81" s="11"/>
      <c r="Q81" s="31"/>
      <c r="R81" s="11"/>
      <c r="S81" s="11"/>
      <c r="T81" s="11"/>
      <c r="U81" s="32" t="str">
        <f aca="false">IF((LEN(A81)+LEN(B81)+LEN(C81)+LEN(D81)+LEN(E81)+LEN(F81)+LEN(G81)+LEN(H81)+LEN(I81)+LEN(J81)+LEN(K81)+LEN(M81)+LEN(N81)+LEN(O81)+LEN(P81)+LEN(Q81)+LEN(R81)+LEN(S81)+LEN(T81))=0,"",IF(OR(A81="",B81="",C81="",D81="",E81="",J81="",K81="",N81=""),"⚠ Champ obligatoire manquant",IF(AND(ISNUMBER(K81),ISNUMBER(J81),N(K81)&gt;N(J81)),"⚠ Prix Autopiec &gt; prix public",IF(COUNTIFS($A$2:$A$1001,A81,$B$2:$B$1001,B81)&gt;1,"⚠ Référence en double","✔ OK"))))</f>
        <v/>
      </c>
    </row>
    <row r="82" customFormat="false" ht="15" hidden="false" customHeight="false" outlineLevel="0" collapsed="false">
      <c r="A82" s="11"/>
      <c r="B82" s="27"/>
      <c r="C82" s="11"/>
      <c r="D82" s="11"/>
      <c r="E82" s="11"/>
      <c r="F82" s="27"/>
      <c r="G82" s="27"/>
      <c r="H82" s="11"/>
      <c r="I82" s="11"/>
      <c r="J82" s="12"/>
      <c r="K82" s="12"/>
      <c r="L82" s="28" t="str">
        <f aca="false">IF(AND(ISNUMBER(J82),ISNUMBER(K82),N(J82)&gt;0),1-K82/J82,"")</f>
        <v/>
      </c>
      <c r="M82" s="29"/>
      <c r="N82" s="30"/>
      <c r="O82" s="30"/>
      <c r="P82" s="11"/>
      <c r="Q82" s="31"/>
      <c r="R82" s="11"/>
      <c r="S82" s="11"/>
      <c r="T82" s="11"/>
      <c r="U82" s="32" t="str">
        <f aca="false">IF((LEN(A82)+LEN(B82)+LEN(C82)+LEN(D82)+LEN(E82)+LEN(F82)+LEN(G82)+LEN(H82)+LEN(I82)+LEN(J82)+LEN(K82)+LEN(M82)+LEN(N82)+LEN(O82)+LEN(P82)+LEN(Q82)+LEN(R82)+LEN(S82)+LEN(T82))=0,"",IF(OR(A82="",B82="",C82="",D82="",E82="",J82="",K82="",N82=""),"⚠ Champ obligatoire manquant",IF(AND(ISNUMBER(K82),ISNUMBER(J82),N(K82)&gt;N(J82)),"⚠ Prix Autopiec &gt; prix public",IF(COUNTIFS($A$2:$A$1001,A82,$B$2:$B$1001,B82)&gt;1,"⚠ Référence en double","✔ OK"))))</f>
        <v/>
      </c>
    </row>
    <row r="83" customFormat="false" ht="15" hidden="false" customHeight="false" outlineLevel="0" collapsed="false">
      <c r="A83" s="11"/>
      <c r="B83" s="27"/>
      <c r="C83" s="11"/>
      <c r="D83" s="11"/>
      <c r="E83" s="11"/>
      <c r="F83" s="27"/>
      <c r="G83" s="27"/>
      <c r="H83" s="11"/>
      <c r="I83" s="11"/>
      <c r="J83" s="12"/>
      <c r="K83" s="12"/>
      <c r="L83" s="28" t="str">
        <f aca="false">IF(AND(ISNUMBER(J83),ISNUMBER(K83),N(J83)&gt;0),1-K83/J83,"")</f>
        <v/>
      </c>
      <c r="M83" s="29"/>
      <c r="N83" s="30"/>
      <c r="O83" s="30"/>
      <c r="P83" s="11"/>
      <c r="Q83" s="31"/>
      <c r="R83" s="11"/>
      <c r="S83" s="11"/>
      <c r="T83" s="11"/>
      <c r="U83" s="32" t="str">
        <f aca="false">IF((LEN(A83)+LEN(B83)+LEN(C83)+LEN(D83)+LEN(E83)+LEN(F83)+LEN(G83)+LEN(H83)+LEN(I83)+LEN(J83)+LEN(K83)+LEN(M83)+LEN(N83)+LEN(O83)+LEN(P83)+LEN(Q83)+LEN(R83)+LEN(S83)+LEN(T83))=0,"",IF(OR(A83="",B83="",C83="",D83="",E83="",J83="",K83="",N83=""),"⚠ Champ obligatoire manquant",IF(AND(ISNUMBER(K83),ISNUMBER(J83),N(K83)&gt;N(J83)),"⚠ Prix Autopiec &gt; prix public",IF(COUNTIFS($A$2:$A$1001,A83,$B$2:$B$1001,B83)&gt;1,"⚠ Référence en double","✔ OK"))))</f>
        <v/>
      </c>
    </row>
    <row r="84" customFormat="false" ht="15" hidden="false" customHeight="false" outlineLevel="0" collapsed="false">
      <c r="A84" s="11"/>
      <c r="B84" s="27"/>
      <c r="C84" s="11"/>
      <c r="D84" s="11"/>
      <c r="E84" s="11"/>
      <c r="F84" s="27"/>
      <c r="G84" s="27"/>
      <c r="H84" s="11"/>
      <c r="I84" s="11"/>
      <c r="J84" s="12"/>
      <c r="K84" s="12"/>
      <c r="L84" s="28" t="str">
        <f aca="false">IF(AND(ISNUMBER(J84),ISNUMBER(K84),N(J84)&gt;0),1-K84/J84,"")</f>
        <v/>
      </c>
      <c r="M84" s="29"/>
      <c r="N84" s="30"/>
      <c r="O84" s="30"/>
      <c r="P84" s="11"/>
      <c r="Q84" s="31"/>
      <c r="R84" s="11"/>
      <c r="S84" s="11"/>
      <c r="T84" s="11"/>
      <c r="U84" s="32" t="str">
        <f aca="false">IF((LEN(A84)+LEN(B84)+LEN(C84)+LEN(D84)+LEN(E84)+LEN(F84)+LEN(G84)+LEN(H84)+LEN(I84)+LEN(J84)+LEN(K84)+LEN(M84)+LEN(N84)+LEN(O84)+LEN(P84)+LEN(Q84)+LEN(R84)+LEN(S84)+LEN(T84))=0,"",IF(OR(A84="",B84="",C84="",D84="",E84="",J84="",K84="",N84=""),"⚠ Champ obligatoire manquant",IF(AND(ISNUMBER(K84),ISNUMBER(J84),N(K84)&gt;N(J84)),"⚠ Prix Autopiec &gt; prix public",IF(COUNTIFS($A$2:$A$1001,A84,$B$2:$B$1001,B84)&gt;1,"⚠ Référence en double","✔ OK"))))</f>
        <v/>
      </c>
    </row>
    <row r="85" customFormat="false" ht="15" hidden="false" customHeight="false" outlineLevel="0" collapsed="false">
      <c r="A85" s="11"/>
      <c r="B85" s="27"/>
      <c r="C85" s="11"/>
      <c r="D85" s="11"/>
      <c r="E85" s="11"/>
      <c r="F85" s="27"/>
      <c r="G85" s="27"/>
      <c r="H85" s="11"/>
      <c r="I85" s="11"/>
      <c r="J85" s="12"/>
      <c r="K85" s="12"/>
      <c r="L85" s="28" t="str">
        <f aca="false">IF(AND(ISNUMBER(J85),ISNUMBER(K85),N(J85)&gt;0),1-K85/J85,"")</f>
        <v/>
      </c>
      <c r="M85" s="29"/>
      <c r="N85" s="30"/>
      <c r="O85" s="30"/>
      <c r="P85" s="11"/>
      <c r="Q85" s="31"/>
      <c r="R85" s="11"/>
      <c r="S85" s="11"/>
      <c r="T85" s="11"/>
      <c r="U85" s="32" t="str">
        <f aca="false">IF((LEN(A85)+LEN(B85)+LEN(C85)+LEN(D85)+LEN(E85)+LEN(F85)+LEN(G85)+LEN(H85)+LEN(I85)+LEN(J85)+LEN(K85)+LEN(M85)+LEN(N85)+LEN(O85)+LEN(P85)+LEN(Q85)+LEN(R85)+LEN(S85)+LEN(T85))=0,"",IF(OR(A85="",B85="",C85="",D85="",E85="",J85="",K85="",N85=""),"⚠ Champ obligatoire manquant",IF(AND(ISNUMBER(K85),ISNUMBER(J85),N(K85)&gt;N(J85)),"⚠ Prix Autopiec &gt; prix public",IF(COUNTIFS($A$2:$A$1001,A85,$B$2:$B$1001,B85)&gt;1,"⚠ Référence en double","✔ OK"))))</f>
        <v/>
      </c>
    </row>
    <row r="86" customFormat="false" ht="15" hidden="false" customHeight="false" outlineLevel="0" collapsed="false">
      <c r="A86" s="11"/>
      <c r="B86" s="27"/>
      <c r="C86" s="11"/>
      <c r="D86" s="11"/>
      <c r="E86" s="11"/>
      <c r="F86" s="27"/>
      <c r="G86" s="27"/>
      <c r="H86" s="11"/>
      <c r="I86" s="11"/>
      <c r="J86" s="12"/>
      <c r="K86" s="12"/>
      <c r="L86" s="28" t="str">
        <f aca="false">IF(AND(ISNUMBER(J86),ISNUMBER(K86),N(J86)&gt;0),1-K86/J86,"")</f>
        <v/>
      </c>
      <c r="M86" s="29"/>
      <c r="N86" s="30"/>
      <c r="O86" s="30"/>
      <c r="P86" s="11"/>
      <c r="Q86" s="31"/>
      <c r="R86" s="11"/>
      <c r="S86" s="11"/>
      <c r="T86" s="11"/>
      <c r="U86" s="32" t="str">
        <f aca="false">IF((LEN(A86)+LEN(B86)+LEN(C86)+LEN(D86)+LEN(E86)+LEN(F86)+LEN(G86)+LEN(H86)+LEN(I86)+LEN(J86)+LEN(K86)+LEN(M86)+LEN(N86)+LEN(O86)+LEN(P86)+LEN(Q86)+LEN(R86)+LEN(S86)+LEN(T86))=0,"",IF(OR(A86="",B86="",C86="",D86="",E86="",J86="",K86="",N86=""),"⚠ Champ obligatoire manquant",IF(AND(ISNUMBER(K86),ISNUMBER(J86),N(K86)&gt;N(J86)),"⚠ Prix Autopiec &gt; prix public",IF(COUNTIFS($A$2:$A$1001,A86,$B$2:$B$1001,B86)&gt;1,"⚠ Référence en double","✔ OK"))))</f>
        <v/>
      </c>
    </row>
    <row r="87" customFormat="false" ht="15" hidden="false" customHeight="false" outlineLevel="0" collapsed="false">
      <c r="A87" s="11"/>
      <c r="B87" s="27"/>
      <c r="C87" s="11"/>
      <c r="D87" s="11"/>
      <c r="E87" s="11"/>
      <c r="F87" s="27"/>
      <c r="G87" s="27"/>
      <c r="H87" s="11"/>
      <c r="I87" s="11"/>
      <c r="J87" s="12"/>
      <c r="K87" s="12"/>
      <c r="L87" s="28" t="str">
        <f aca="false">IF(AND(ISNUMBER(J87),ISNUMBER(K87),N(J87)&gt;0),1-K87/J87,"")</f>
        <v/>
      </c>
      <c r="M87" s="29"/>
      <c r="N87" s="30"/>
      <c r="O87" s="30"/>
      <c r="P87" s="11"/>
      <c r="Q87" s="31"/>
      <c r="R87" s="11"/>
      <c r="S87" s="11"/>
      <c r="T87" s="11"/>
      <c r="U87" s="32" t="str">
        <f aca="false">IF((LEN(A87)+LEN(B87)+LEN(C87)+LEN(D87)+LEN(E87)+LEN(F87)+LEN(G87)+LEN(H87)+LEN(I87)+LEN(J87)+LEN(K87)+LEN(M87)+LEN(N87)+LEN(O87)+LEN(P87)+LEN(Q87)+LEN(R87)+LEN(S87)+LEN(T87))=0,"",IF(OR(A87="",B87="",C87="",D87="",E87="",J87="",K87="",N87=""),"⚠ Champ obligatoire manquant",IF(AND(ISNUMBER(K87),ISNUMBER(J87),N(K87)&gt;N(J87)),"⚠ Prix Autopiec &gt; prix public",IF(COUNTIFS($A$2:$A$1001,A87,$B$2:$B$1001,B87)&gt;1,"⚠ Référence en double","✔ OK"))))</f>
        <v/>
      </c>
    </row>
    <row r="88" customFormat="false" ht="15" hidden="false" customHeight="false" outlineLevel="0" collapsed="false">
      <c r="A88" s="11"/>
      <c r="B88" s="27"/>
      <c r="C88" s="11"/>
      <c r="D88" s="11"/>
      <c r="E88" s="11"/>
      <c r="F88" s="27"/>
      <c r="G88" s="27"/>
      <c r="H88" s="11"/>
      <c r="I88" s="11"/>
      <c r="J88" s="12"/>
      <c r="K88" s="12"/>
      <c r="L88" s="28" t="str">
        <f aca="false">IF(AND(ISNUMBER(J88),ISNUMBER(K88),N(J88)&gt;0),1-K88/J88,"")</f>
        <v/>
      </c>
      <c r="M88" s="29"/>
      <c r="N88" s="30"/>
      <c r="O88" s="30"/>
      <c r="P88" s="11"/>
      <c r="Q88" s="31"/>
      <c r="R88" s="11"/>
      <c r="S88" s="11"/>
      <c r="T88" s="11"/>
      <c r="U88" s="32" t="str">
        <f aca="false">IF((LEN(A88)+LEN(B88)+LEN(C88)+LEN(D88)+LEN(E88)+LEN(F88)+LEN(G88)+LEN(H88)+LEN(I88)+LEN(J88)+LEN(K88)+LEN(M88)+LEN(N88)+LEN(O88)+LEN(P88)+LEN(Q88)+LEN(R88)+LEN(S88)+LEN(T88))=0,"",IF(OR(A88="",B88="",C88="",D88="",E88="",J88="",K88="",N88=""),"⚠ Champ obligatoire manquant",IF(AND(ISNUMBER(K88),ISNUMBER(J88),N(K88)&gt;N(J88)),"⚠ Prix Autopiec &gt; prix public",IF(COUNTIFS($A$2:$A$1001,A88,$B$2:$B$1001,B88)&gt;1,"⚠ Référence en double","✔ OK"))))</f>
        <v/>
      </c>
    </row>
    <row r="89" customFormat="false" ht="15" hidden="false" customHeight="false" outlineLevel="0" collapsed="false">
      <c r="A89" s="11"/>
      <c r="B89" s="27"/>
      <c r="C89" s="11"/>
      <c r="D89" s="11"/>
      <c r="E89" s="11"/>
      <c r="F89" s="27"/>
      <c r="G89" s="27"/>
      <c r="H89" s="11"/>
      <c r="I89" s="11"/>
      <c r="J89" s="12"/>
      <c r="K89" s="12"/>
      <c r="L89" s="28" t="str">
        <f aca="false">IF(AND(ISNUMBER(J89),ISNUMBER(K89),N(J89)&gt;0),1-K89/J89,"")</f>
        <v/>
      </c>
      <c r="M89" s="29"/>
      <c r="N89" s="30"/>
      <c r="O89" s="30"/>
      <c r="P89" s="11"/>
      <c r="Q89" s="31"/>
      <c r="R89" s="11"/>
      <c r="S89" s="11"/>
      <c r="T89" s="11"/>
      <c r="U89" s="32" t="str">
        <f aca="false">IF((LEN(A89)+LEN(B89)+LEN(C89)+LEN(D89)+LEN(E89)+LEN(F89)+LEN(G89)+LEN(H89)+LEN(I89)+LEN(J89)+LEN(K89)+LEN(M89)+LEN(N89)+LEN(O89)+LEN(P89)+LEN(Q89)+LEN(R89)+LEN(S89)+LEN(T89))=0,"",IF(OR(A89="",B89="",C89="",D89="",E89="",J89="",K89="",N89=""),"⚠ Champ obligatoire manquant",IF(AND(ISNUMBER(K89),ISNUMBER(J89),N(K89)&gt;N(J89)),"⚠ Prix Autopiec &gt; prix public",IF(COUNTIFS($A$2:$A$1001,A89,$B$2:$B$1001,B89)&gt;1,"⚠ Référence en double","✔ OK"))))</f>
        <v/>
      </c>
    </row>
    <row r="90" customFormat="false" ht="15" hidden="false" customHeight="false" outlineLevel="0" collapsed="false">
      <c r="A90" s="11"/>
      <c r="B90" s="27"/>
      <c r="C90" s="11"/>
      <c r="D90" s="11"/>
      <c r="E90" s="11"/>
      <c r="F90" s="27"/>
      <c r="G90" s="27"/>
      <c r="H90" s="11"/>
      <c r="I90" s="11"/>
      <c r="J90" s="12"/>
      <c r="K90" s="12"/>
      <c r="L90" s="28" t="str">
        <f aca="false">IF(AND(ISNUMBER(J90),ISNUMBER(K90),N(J90)&gt;0),1-K90/J90,"")</f>
        <v/>
      </c>
      <c r="M90" s="29"/>
      <c r="N90" s="30"/>
      <c r="O90" s="30"/>
      <c r="P90" s="11"/>
      <c r="Q90" s="31"/>
      <c r="R90" s="11"/>
      <c r="S90" s="11"/>
      <c r="T90" s="11"/>
      <c r="U90" s="32" t="str">
        <f aca="false">IF((LEN(A90)+LEN(B90)+LEN(C90)+LEN(D90)+LEN(E90)+LEN(F90)+LEN(G90)+LEN(H90)+LEN(I90)+LEN(J90)+LEN(K90)+LEN(M90)+LEN(N90)+LEN(O90)+LEN(P90)+LEN(Q90)+LEN(R90)+LEN(S90)+LEN(T90))=0,"",IF(OR(A90="",B90="",C90="",D90="",E90="",J90="",K90="",N90=""),"⚠ Champ obligatoire manquant",IF(AND(ISNUMBER(K90),ISNUMBER(J90),N(K90)&gt;N(J90)),"⚠ Prix Autopiec &gt; prix public",IF(COUNTIFS($A$2:$A$1001,A90,$B$2:$B$1001,B90)&gt;1,"⚠ Référence en double","✔ OK"))))</f>
        <v/>
      </c>
    </row>
    <row r="91" customFormat="false" ht="15" hidden="false" customHeight="false" outlineLevel="0" collapsed="false">
      <c r="A91" s="11"/>
      <c r="B91" s="27"/>
      <c r="C91" s="11"/>
      <c r="D91" s="11"/>
      <c r="E91" s="11"/>
      <c r="F91" s="27"/>
      <c r="G91" s="27"/>
      <c r="H91" s="11"/>
      <c r="I91" s="11"/>
      <c r="J91" s="12"/>
      <c r="K91" s="12"/>
      <c r="L91" s="28" t="str">
        <f aca="false">IF(AND(ISNUMBER(J91),ISNUMBER(K91),N(J91)&gt;0),1-K91/J91,"")</f>
        <v/>
      </c>
      <c r="M91" s="29"/>
      <c r="N91" s="30"/>
      <c r="O91" s="30"/>
      <c r="P91" s="11"/>
      <c r="Q91" s="31"/>
      <c r="R91" s="11"/>
      <c r="S91" s="11"/>
      <c r="T91" s="11"/>
      <c r="U91" s="32" t="str">
        <f aca="false">IF((LEN(A91)+LEN(B91)+LEN(C91)+LEN(D91)+LEN(E91)+LEN(F91)+LEN(G91)+LEN(H91)+LEN(I91)+LEN(J91)+LEN(K91)+LEN(M91)+LEN(N91)+LEN(O91)+LEN(P91)+LEN(Q91)+LEN(R91)+LEN(S91)+LEN(T91))=0,"",IF(OR(A91="",B91="",C91="",D91="",E91="",J91="",K91="",N91=""),"⚠ Champ obligatoire manquant",IF(AND(ISNUMBER(K91),ISNUMBER(J91),N(K91)&gt;N(J91)),"⚠ Prix Autopiec &gt; prix public",IF(COUNTIFS($A$2:$A$1001,A91,$B$2:$B$1001,B91)&gt;1,"⚠ Référence en double","✔ OK"))))</f>
        <v/>
      </c>
    </row>
    <row r="92" customFormat="false" ht="15" hidden="false" customHeight="false" outlineLevel="0" collapsed="false">
      <c r="A92" s="11"/>
      <c r="B92" s="27"/>
      <c r="C92" s="11"/>
      <c r="D92" s="11"/>
      <c r="E92" s="11"/>
      <c r="F92" s="27"/>
      <c r="G92" s="27"/>
      <c r="H92" s="11"/>
      <c r="I92" s="11"/>
      <c r="J92" s="12"/>
      <c r="K92" s="12"/>
      <c r="L92" s="28" t="str">
        <f aca="false">IF(AND(ISNUMBER(J92),ISNUMBER(K92),N(J92)&gt;0),1-K92/J92,"")</f>
        <v/>
      </c>
      <c r="M92" s="29"/>
      <c r="N92" s="30"/>
      <c r="O92" s="30"/>
      <c r="P92" s="11"/>
      <c r="Q92" s="31"/>
      <c r="R92" s="11"/>
      <c r="S92" s="11"/>
      <c r="T92" s="11"/>
      <c r="U92" s="32" t="str">
        <f aca="false">IF((LEN(A92)+LEN(B92)+LEN(C92)+LEN(D92)+LEN(E92)+LEN(F92)+LEN(G92)+LEN(H92)+LEN(I92)+LEN(J92)+LEN(K92)+LEN(M92)+LEN(N92)+LEN(O92)+LEN(P92)+LEN(Q92)+LEN(R92)+LEN(S92)+LEN(T92))=0,"",IF(OR(A92="",B92="",C92="",D92="",E92="",J92="",K92="",N92=""),"⚠ Champ obligatoire manquant",IF(AND(ISNUMBER(K92),ISNUMBER(J92),N(K92)&gt;N(J92)),"⚠ Prix Autopiec &gt; prix public",IF(COUNTIFS($A$2:$A$1001,A92,$B$2:$B$1001,B92)&gt;1,"⚠ Référence en double","✔ OK"))))</f>
        <v/>
      </c>
    </row>
    <row r="93" customFormat="false" ht="15" hidden="false" customHeight="false" outlineLevel="0" collapsed="false">
      <c r="A93" s="11"/>
      <c r="B93" s="27"/>
      <c r="C93" s="11"/>
      <c r="D93" s="11"/>
      <c r="E93" s="11"/>
      <c r="F93" s="27"/>
      <c r="G93" s="27"/>
      <c r="H93" s="11"/>
      <c r="I93" s="11"/>
      <c r="J93" s="12"/>
      <c r="K93" s="12"/>
      <c r="L93" s="28" t="str">
        <f aca="false">IF(AND(ISNUMBER(J93),ISNUMBER(K93),N(J93)&gt;0),1-K93/J93,"")</f>
        <v/>
      </c>
      <c r="M93" s="29"/>
      <c r="N93" s="30"/>
      <c r="O93" s="30"/>
      <c r="P93" s="11"/>
      <c r="Q93" s="31"/>
      <c r="R93" s="11"/>
      <c r="S93" s="11"/>
      <c r="T93" s="11"/>
      <c r="U93" s="32" t="str">
        <f aca="false">IF((LEN(A93)+LEN(B93)+LEN(C93)+LEN(D93)+LEN(E93)+LEN(F93)+LEN(G93)+LEN(H93)+LEN(I93)+LEN(J93)+LEN(K93)+LEN(M93)+LEN(N93)+LEN(O93)+LEN(P93)+LEN(Q93)+LEN(R93)+LEN(S93)+LEN(T93))=0,"",IF(OR(A93="",B93="",C93="",D93="",E93="",J93="",K93="",N93=""),"⚠ Champ obligatoire manquant",IF(AND(ISNUMBER(K93),ISNUMBER(J93),N(K93)&gt;N(J93)),"⚠ Prix Autopiec &gt; prix public",IF(COUNTIFS($A$2:$A$1001,A93,$B$2:$B$1001,B93)&gt;1,"⚠ Référence en double","✔ OK"))))</f>
        <v/>
      </c>
    </row>
    <row r="94" customFormat="false" ht="15" hidden="false" customHeight="false" outlineLevel="0" collapsed="false">
      <c r="A94" s="11"/>
      <c r="B94" s="27"/>
      <c r="C94" s="11"/>
      <c r="D94" s="11"/>
      <c r="E94" s="11"/>
      <c r="F94" s="27"/>
      <c r="G94" s="27"/>
      <c r="H94" s="11"/>
      <c r="I94" s="11"/>
      <c r="J94" s="12"/>
      <c r="K94" s="12"/>
      <c r="L94" s="28" t="str">
        <f aca="false">IF(AND(ISNUMBER(J94),ISNUMBER(K94),N(J94)&gt;0),1-K94/J94,"")</f>
        <v/>
      </c>
      <c r="M94" s="29"/>
      <c r="N94" s="30"/>
      <c r="O94" s="30"/>
      <c r="P94" s="11"/>
      <c r="Q94" s="31"/>
      <c r="R94" s="11"/>
      <c r="S94" s="11"/>
      <c r="T94" s="11"/>
      <c r="U94" s="32" t="str">
        <f aca="false">IF((LEN(A94)+LEN(B94)+LEN(C94)+LEN(D94)+LEN(E94)+LEN(F94)+LEN(G94)+LEN(H94)+LEN(I94)+LEN(J94)+LEN(K94)+LEN(M94)+LEN(N94)+LEN(O94)+LEN(P94)+LEN(Q94)+LEN(R94)+LEN(S94)+LEN(T94))=0,"",IF(OR(A94="",B94="",C94="",D94="",E94="",J94="",K94="",N94=""),"⚠ Champ obligatoire manquant",IF(AND(ISNUMBER(K94),ISNUMBER(J94),N(K94)&gt;N(J94)),"⚠ Prix Autopiec &gt; prix public",IF(COUNTIFS($A$2:$A$1001,A94,$B$2:$B$1001,B94)&gt;1,"⚠ Référence en double","✔ OK"))))</f>
        <v/>
      </c>
    </row>
    <row r="95" customFormat="false" ht="15" hidden="false" customHeight="false" outlineLevel="0" collapsed="false">
      <c r="A95" s="11"/>
      <c r="B95" s="27"/>
      <c r="C95" s="11"/>
      <c r="D95" s="11"/>
      <c r="E95" s="11"/>
      <c r="F95" s="27"/>
      <c r="G95" s="27"/>
      <c r="H95" s="11"/>
      <c r="I95" s="11"/>
      <c r="J95" s="12"/>
      <c r="K95" s="12"/>
      <c r="L95" s="28" t="str">
        <f aca="false">IF(AND(ISNUMBER(J95),ISNUMBER(K95),N(J95)&gt;0),1-K95/J95,"")</f>
        <v/>
      </c>
      <c r="M95" s="29"/>
      <c r="N95" s="30"/>
      <c r="O95" s="30"/>
      <c r="P95" s="11"/>
      <c r="Q95" s="31"/>
      <c r="R95" s="11"/>
      <c r="S95" s="11"/>
      <c r="T95" s="11"/>
      <c r="U95" s="32" t="str">
        <f aca="false">IF((LEN(A95)+LEN(B95)+LEN(C95)+LEN(D95)+LEN(E95)+LEN(F95)+LEN(G95)+LEN(H95)+LEN(I95)+LEN(J95)+LEN(K95)+LEN(M95)+LEN(N95)+LEN(O95)+LEN(P95)+LEN(Q95)+LEN(R95)+LEN(S95)+LEN(T95))=0,"",IF(OR(A95="",B95="",C95="",D95="",E95="",J95="",K95="",N95=""),"⚠ Champ obligatoire manquant",IF(AND(ISNUMBER(K95),ISNUMBER(J95),N(K95)&gt;N(J95)),"⚠ Prix Autopiec &gt; prix public",IF(COUNTIFS($A$2:$A$1001,A95,$B$2:$B$1001,B95)&gt;1,"⚠ Référence en double","✔ OK"))))</f>
        <v/>
      </c>
    </row>
    <row r="96" customFormat="false" ht="15" hidden="false" customHeight="false" outlineLevel="0" collapsed="false">
      <c r="A96" s="11"/>
      <c r="B96" s="27"/>
      <c r="C96" s="11"/>
      <c r="D96" s="11"/>
      <c r="E96" s="11"/>
      <c r="F96" s="27"/>
      <c r="G96" s="27"/>
      <c r="H96" s="11"/>
      <c r="I96" s="11"/>
      <c r="J96" s="12"/>
      <c r="K96" s="12"/>
      <c r="L96" s="28" t="str">
        <f aca="false">IF(AND(ISNUMBER(J96),ISNUMBER(K96),N(J96)&gt;0),1-K96/J96,"")</f>
        <v/>
      </c>
      <c r="M96" s="29"/>
      <c r="N96" s="30"/>
      <c r="O96" s="30"/>
      <c r="P96" s="11"/>
      <c r="Q96" s="31"/>
      <c r="R96" s="11"/>
      <c r="S96" s="11"/>
      <c r="T96" s="11"/>
      <c r="U96" s="32" t="str">
        <f aca="false">IF((LEN(A96)+LEN(B96)+LEN(C96)+LEN(D96)+LEN(E96)+LEN(F96)+LEN(G96)+LEN(H96)+LEN(I96)+LEN(J96)+LEN(K96)+LEN(M96)+LEN(N96)+LEN(O96)+LEN(P96)+LEN(Q96)+LEN(R96)+LEN(S96)+LEN(T96))=0,"",IF(OR(A96="",B96="",C96="",D96="",E96="",J96="",K96="",N96=""),"⚠ Champ obligatoire manquant",IF(AND(ISNUMBER(K96),ISNUMBER(J96),N(K96)&gt;N(J96)),"⚠ Prix Autopiec &gt; prix public",IF(COUNTIFS($A$2:$A$1001,A96,$B$2:$B$1001,B96)&gt;1,"⚠ Référence en double","✔ OK"))))</f>
        <v/>
      </c>
    </row>
    <row r="97" customFormat="false" ht="15" hidden="false" customHeight="false" outlineLevel="0" collapsed="false">
      <c r="A97" s="11"/>
      <c r="B97" s="27"/>
      <c r="C97" s="11"/>
      <c r="D97" s="11"/>
      <c r="E97" s="11"/>
      <c r="F97" s="27"/>
      <c r="G97" s="27"/>
      <c r="H97" s="11"/>
      <c r="I97" s="11"/>
      <c r="J97" s="12"/>
      <c r="K97" s="12"/>
      <c r="L97" s="28" t="str">
        <f aca="false">IF(AND(ISNUMBER(J97),ISNUMBER(K97),N(J97)&gt;0),1-K97/J97,"")</f>
        <v/>
      </c>
      <c r="M97" s="29"/>
      <c r="N97" s="30"/>
      <c r="O97" s="30"/>
      <c r="P97" s="11"/>
      <c r="Q97" s="31"/>
      <c r="R97" s="11"/>
      <c r="S97" s="11"/>
      <c r="T97" s="11"/>
      <c r="U97" s="32" t="str">
        <f aca="false">IF((LEN(A97)+LEN(B97)+LEN(C97)+LEN(D97)+LEN(E97)+LEN(F97)+LEN(G97)+LEN(H97)+LEN(I97)+LEN(J97)+LEN(K97)+LEN(M97)+LEN(N97)+LEN(O97)+LEN(P97)+LEN(Q97)+LEN(R97)+LEN(S97)+LEN(T97))=0,"",IF(OR(A97="",B97="",C97="",D97="",E97="",J97="",K97="",N97=""),"⚠ Champ obligatoire manquant",IF(AND(ISNUMBER(K97),ISNUMBER(J97),N(K97)&gt;N(J97)),"⚠ Prix Autopiec &gt; prix public",IF(COUNTIFS($A$2:$A$1001,A97,$B$2:$B$1001,B97)&gt;1,"⚠ Référence en double","✔ OK"))))</f>
        <v/>
      </c>
    </row>
    <row r="98" customFormat="false" ht="15" hidden="false" customHeight="false" outlineLevel="0" collapsed="false">
      <c r="A98" s="11"/>
      <c r="B98" s="27"/>
      <c r="C98" s="11"/>
      <c r="D98" s="11"/>
      <c r="E98" s="11"/>
      <c r="F98" s="27"/>
      <c r="G98" s="27"/>
      <c r="H98" s="11"/>
      <c r="I98" s="11"/>
      <c r="J98" s="12"/>
      <c r="K98" s="12"/>
      <c r="L98" s="28" t="str">
        <f aca="false">IF(AND(ISNUMBER(J98),ISNUMBER(K98),N(J98)&gt;0),1-K98/J98,"")</f>
        <v/>
      </c>
      <c r="M98" s="29"/>
      <c r="N98" s="30"/>
      <c r="O98" s="30"/>
      <c r="P98" s="11"/>
      <c r="Q98" s="31"/>
      <c r="R98" s="11"/>
      <c r="S98" s="11"/>
      <c r="T98" s="11"/>
      <c r="U98" s="32" t="str">
        <f aca="false">IF((LEN(A98)+LEN(B98)+LEN(C98)+LEN(D98)+LEN(E98)+LEN(F98)+LEN(G98)+LEN(H98)+LEN(I98)+LEN(J98)+LEN(K98)+LEN(M98)+LEN(N98)+LEN(O98)+LEN(P98)+LEN(Q98)+LEN(R98)+LEN(S98)+LEN(T98))=0,"",IF(OR(A98="",B98="",C98="",D98="",E98="",J98="",K98="",N98=""),"⚠ Champ obligatoire manquant",IF(AND(ISNUMBER(K98),ISNUMBER(J98),N(K98)&gt;N(J98)),"⚠ Prix Autopiec &gt; prix public",IF(COUNTIFS($A$2:$A$1001,A98,$B$2:$B$1001,B98)&gt;1,"⚠ Référence en double","✔ OK"))))</f>
        <v/>
      </c>
    </row>
    <row r="99" customFormat="false" ht="15" hidden="false" customHeight="false" outlineLevel="0" collapsed="false">
      <c r="A99" s="11"/>
      <c r="B99" s="27"/>
      <c r="C99" s="11"/>
      <c r="D99" s="11"/>
      <c r="E99" s="11"/>
      <c r="F99" s="27"/>
      <c r="G99" s="27"/>
      <c r="H99" s="11"/>
      <c r="I99" s="11"/>
      <c r="J99" s="12"/>
      <c r="K99" s="12"/>
      <c r="L99" s="28" t="str">
        <f aca="false">IF(AND(ISNUMBER(J99),ISNUMBER(K99),N(J99)&gt;0),1-K99/J99,"")</f>
        <v/>
      </c>
      <c r="M99" s="29"/>
      <c r="N99" s="30"/>
      <c r="O99" s="30"/>
      <c r="P99" s="11"/>
      <c r="Q99" s="31"/>
      <c r="R99" s="11"/>
      <c r="S99" s="11"/>
      <c r="T99" s="11"/>
      <c r="U99" s="32" t="str">
        <f aca="false">IF((LEN(A99)+LEN(B99)+LEN(C99)+LEN(D99)+LEN(E99)+LEN(F99)+LEN(G99)+LEN(H99)+LEN(I99)+LEN(J99)+LEN(K99)+LEN(M99)+LEN(N99)+LEN(O99)+LEN(P99)+LEN(Q99)+LEN(R99)+LEN(S99)+LEN(T99))=0,"",IF(OR(A99="",B99="",C99="",D99="",E99="",J99="",K99="",N99=""),"⚠ Champ obligatoire manquant",IF(AND(ISNUMBER(K99),ISNUMBER(J99),N(K99)&gt;N(J99)),"⚠ Prix Autopiec &gt; prix public",IF(COUNTIFS($A$2:$A$1001,A99,$B$2:$B$1001,B99)&gt;1,"⚠ Référence en double","✔ OK"))))</f>
        <v/>
      </c>
    </row>
    <row r="100" customFormat="false" ht="15" hidden="false" customHeight="false" outlineLevel="0" collapsed="false">
      <c r="A100" s="11"/>
      <c r="B100" s="27"/>
      <c r="C100" s="11"/>
      <c r="D100" s="11"/>
      <c r="E100" s="11"/>
      <c r="F100" s="27"/>
      <c r="G100" s="27"/>
      <c r="H100" s="11"/>
      <c r="I100" s="11"/>
      <c r="J100" s="12"/>
      <c r="K100" s="12"/>
      <c r="L100" s="28" t="str">
        <f aca="false">IF(AND(ISNUMBER(J100),ISNUMBER(K100),N(J100)&gt;0),1-K100/J100,"")</f>
        <v/>
      </c>
      <c r="M100" s="29"/>
      <c r="N100" s="30"/>
      <c r="O100" s="30"/>
      <c r="P100" s="11"/>
      <c r="Q100" s="31"/>
      <c r="R100" s="11"/>
      <c r="S100" s="11"/>
      <c r="T100" s="11"/>
      <c r="U100" s="32" t="str">
        <f aca="false">IF((LEN(A100)+LEN(B100)+LEN(C100)+LEN(D100)+LEN(E100)+LEN(F100)+LEN(G100)+LEN(H100)+LEN(I100)+LEN(J100)+LEN(K100)+LEN(M100)+LEN(N100)+LEN(O100)+LEN(P100)+LEN(Q100)+LEN(R100)+LEN(S100)+LEN(T100))=0,"",IF(OR(A100="",B100="",C100="",D100="",E100="",J100="",K100="",N100=""),"⚠ Champ obligatoire manquant",IF(AND(ISNUMBER(K100),ISNUMBER(J100),N(K100)&gt;N(J100)),"⚠ Prix Autopiec &gt; prix public",IF(COUNTIFS($A$2:$A$1001,A100,$B$2:$B$1001,B100)&gt;1,"⚠ Référence en double","✔ OK"))))</f>
        <v/>
      </c>
    </row>
    <row r="101" customFormat="false" ht="15" hidden="false" customHeight="false" outlineLevel="0" collapsed="false">
      <c r="A101" s="11"/>
      <c r="B101" s="27"/>
      <c r="C101" s="11"/>
      <c r="D101" s="11"/>
      <c r="E101" s="11"/>
      <c r="F101" s="27"/>
      <c r="G101" s="27"/>
      <c r="H101" s="11"/>
      <c r="I101" s="11"/>
      <c r="J101" s="12"/>
      <c r="K101" s="12"/>
      <c r="L101" s="28" t="str">
        <f aca="false">IF(AND(ISNUMBER(J101),ISNUMBER(K101),N(J101)&gt;0),1-K101/J101,"")</f>
        <v/>
      </c>
      <c r="M101" s="29"/>
      <c r="N101" s="30"/>
      <c r="O101" s="30"/>
      <c r="P101" s="11"/>
      <c r="Q101" s="31"/>
      <c r="R101" s="11"/>
      <c r="S101" s="11"/>
      <c r="T101" s="11"/>
      <c r="U101" s="32" t="str">
        <f aca="false">IF((LEN(A101)+LEN(B101)+LEN(C101)+LEN(D101)+LEN(E101)+LEN(F101)+LEN(G101)+LEN(H101)+LEN(I101)+LEN(J101)+LEN(K101)+LEN(M101)+LEN(N101)+LEN(O101)+LEN(P101)+LEN(Q101)+LEN(R101)+LEN(S101)+LEN(T101))=0,"",IF(OR(A101="",B101="",C101="",D101="",E101="",J101="",K101="",N101=""),"⚠ Champ obligatoire manquant",IF(AND(ISNUMBER(K101),ISNUMBER(J101),N(K101)&gt;N(J101)),"⚠ Prix Autopiec &gt; prix public",IF(COUNTIFS($A$2:$A$1001,A101,$B$2:$B$1001,B101)&gt;1,"⚠ Référence en double","✔ OK"))))</f>
        <v/>
      </c>
    </row>
    <row r="102" customFormat="false" ht="15" hidden="false" customHeight="false" outlineLevel="0" collapsed="false">
      <c r="A102" s="11"/>
      <c r="B102" s="27"/>
      <c r="C102" s="11"/>
      <c r="D102" s="11"/>
      <c r="E102" s="11"/>
      <c r="F102" s="27"/>
      <c r="G102" s="27"/>
      <c r="H102" s="11"/>
      <c r="I102" s="11"/>
      <c r="J102" s="12"/>
      <c r="K102" s="12"/>
      <c r="L102" s="28" t="str">
        <f aca="false">IF(AND(ISNUMBER(J102),ISNUMBER(K102),N(J102)&gt;0),1-K102/J102,"")</f>
        <v/>
      </c>
      <c r="M102" s="29"/>
      <c r="N102" s="30"/>
      <c r="O102" s="30"/>
      <c r="P102" s="11"/>
      <c r="Q102" s="31"/>
      <c r="R102" s="11"/>
      <c r="S102" s="11"/>
      <c r="T102" s="11"/>
      <c r="U102" s="32" t="str">
        <f aca="false">IF((LEN(A102)+LEN(B102)+LEN(C102)+LEN(D102)+LEN(E102)+LEN(F102)+LEN(G102)+LEN(H102)+LEN(I102)+LEN(J102)+LEN(K102)+LEN(M102)+LEN(N102)+LEN(O102)+LEN(P102)+LEN(Q102)+LEN(R102)+LEN(S102)+LEN(T102))=0,"",IF(OR(A102="",B102="",C102="",D102="",E102="",J102="",K102="",N102=""),"⚠ Champ obligatoire manquant",IF(AND(ISNUMBER(K102),ISNUMBER(J102),N(K102)&gt;N(J102)),"⚠ Prix Autopiec &gt; prix public",IF(COUNTIFS($A$2:$A$1001,A102,$B$2:$B$1001,B102)&gt;1,"⚠ Référence en double","✔ OK"))))</f>
        <v/>
      </c>
    </row>
    <row r="103" customFormat="false" ht="15" hidden="false" customHeight="false" outlineLevel="0" collapsed="false">
      <c r="A103" s="11"/>
      <c r="B103" s="27"/>
      <c r="C103" s="11"/>
      <c r="D103" s="11"/>
      <c r="E103" s="11"/>
      <c r="F103" s="27"/>
      <c r="G103" s="27"/>
      <c r="H103" s="11"/>
      <c r="I103" s="11"/>
      <c r="J103" s="12"/>
      <c r="K103" s="12"/>
      <c r="L103" s="28" t="str">
        <f aca="false">IF(AND(ISNUMBER(J103),ISNUMBER(K103),N(J103)&gt;0),1-K103/J103,"")</f>
        <v/>
      </c>
      <c r="M103" s="29"/>
      <c r="N103" s="30"/>
      <c r="O103" s="30"/>
      <c r="P103" s="11"/>
      <c r="Q103" s="31"/>
      <c r="R103" s="11"/>
      <c r="S103" s="11"/>
      <c r="T103" s="11"/>
      <c r="U103" s="32" t="str">
        <f aca="false">IF((LEN(A103)+LEN(B103)+LEN(C103)+LEN(D103)+LEN(E103)+LEN(F103)+LEN(G103)+LEN(H103)+LEN(I103)+LEN(J103)+LEN(K103)+LEN(M103)+LEN(N103)+LEN(O103)+LEN(P103)+LEN(Q103)+LEN(R103)+LEN(S103)+LEN(T103))=0,"",IF(OR(A103="",B103="",C103="",D103="",E103="",J103="",K103="",N103=""),"⚠ Champ obligatoire manquant",IF(AND(ISNUMBER(K103),ISNUMBER(J103),N(K103)&gt;N(J103)),"⚠ Prix Autopiec &gt; prix public",IF(COUNTIFS($A$2:$A$1001,A103,$B$2:$B$1001,B103)&gt;1,"⚠ Référence en double","✔ OK"))))</f>
        <v/>
      </c>
    </row>
    <row r="104" customFormat="false" ht="15" hidden="false" customHeight="false" outlineLevel="0" collapsed="false">
      <c r="A104" s="11"/>
      <c r="B104" s="27"/>
      <c r="C104" s="11"/>
      <c r="D104" s="11"/>
      <c r="E104" s="11"/>
      <c r="F104" s="27"/>
      <c r="G104" s="27"/>
      <c r="H104" s="11"/>
      <c r="I104" s="11"/>
      <c r="J104" s="12"/>
      <c r="K104" s="12"/>
      <c r="L104" s="28" t="str">
        <f aca="false">IF(AND(ISNUMBER(J104),ISNUMBER(K104),N(J104)&gt;0),1-K104/J104,"")</f>
        <v/>
      </c>
      <c r="M104" s="29"/>
      <c r="N104" s="30"/>
      <c r="O104" s="30"/>
      <c r="P104" s="11"/>
      <c r="Q104" s="31"/>
      <c r="R104" s="11"/>
      <c r="S104" s="11"/>
      <c r="T104" s="11"/>
      <c r="U104" s="32" t="str">
        <f aca="false">IF((LEN(A104)+LEN(B104)+LEN(C104)+LEN(D104)+LEN(E104)+LEN(F104)+LEN(G104)+LEN(H104)+LEN(I104)+LEN(J104)+LEN(K104)+LEN(M104)+LEN(N104)+LEN(O104)+LEN(P104)+LEN(Q104)+LEN(R104)+LEN(S104)+LEN(T104))=0,"",IF(OR(A104="",B104="",C104="",D104="",E104="",J104="",K104="",N104=""),"⚠ Champ obligatoire manquant",IF(AND(ISNUMBER(K104),ISNUMBER(J104),N(K104)&gt;N(J104)),"⚠ Prix Autopiec &gt; prix public",IF(COUNTIFS($A$2:$A$1001,A104,$B$2:$B$1001,B104)&gt;1,"⚠ Référence en double","✔ OK"))))</f>
        <v/>
      </c>
    </row>
    <row r="105" customFormat="false" ht="15" hidden="false" customHeight="false" outlineLevel="0" collapsed="false">
      <c r="A105" s="11"/>
      <c r="B105" s="27"/>
      <c r="C105" s="11"/>
      <c r="D105" s="11"/>
      <c r="E105" s="11"/>
      <c r="F105" s="27"/>
      <c r="G105" s="27"/>
      <c r="H105" s="11"/>
      <c r="I105" s="11"/>
      <c r="J105" s="12"/>
      <c r="K105" s="12"/>
      <c r="L105" s="28" t="str">
        <f aca="false">IF(AND(ISNUMBER(J105),ISNUMBER(K105),N(J105)&gt;0),1-K105/J105,"")</f>
        <v/>
      </c>
      <c r="M105" s="29"/>
      <c r="N105" s="30"/>
      <c r="O105" s="30"/>
      <c r="P105" s="11"/>
      <c r="Q105" s="31"/>
      <c r="R105" s="11"/>
      <c r="S105" s="11"/>
      <c r="T105" s="11"/>
      <c r="U105" s="32" t="str">
        <f aca="false">IF((LEN(A105)+LEN(B105)+LEN(C105)+LEN(D105)+LEN(E105)+LEN(F105)+LEN(G105)+LEN(H105)+LEN(I105)+LEN(J105)+LEN(K105)+LEN(M105)+LEN(N105)+LEN(O105)+LEN(P105)+LEN(Q105)+LEN(R105)+LEN(S105)+LEN(T105))=0,"",IF(OR(A105="",B105="",C105="",D105="",E105="",J105="",K105="",N105=""),"⚠ Champ obligatoire manquant",IF(AND(ISNUMBER(K105),ISNUMBER(J105),N(K105)&gt;N(J105)),"⚠ Prix Autopiec &gt; prix public",IF(COUNTIFS($A$2:$A$1001,A105,$B$2:$B$1001,B105)&gt;1,"⚠ Référence en double","✔ OK"))))</f>
        <v/>
      </c>
    </row>
    <row r="106" customFormat="false" ht="15" hidden="false" customHeight="false" outlineLevel="0" collapsed="false">
      <c r="A106" s="11"/>
      <c r="B106" s="27"/>
      <c r="C106" s="11"/>
      <c r="D106" s="11"/>
      <c r="E106" s="11"/>
      <c r="F106" s="27"/>
      <c r="G106" s="27"/>
      <c r="H106" s="11"/>
      <c r="I106" s="11"/>
      <c r="J106" s="12"/>
      <c r="K106" s="12"/>
      <c r="L106" s="28" t="str">
        <f aca="false">IF(AND(ISNUMBER(J106),ISNUMBER(K106),N(J106)&gt;0),1-K106/J106,"")</f>
        <v/>
      </c>
      <c r="M106" s="29"/>
      <c r="N106" s="30"/>
      <c r="O106" s="30"/>
      <c r="P106" s="11"/>
      <c r="Q106" s="31"/>
      <c r="R106" s="11"/>
      <c r="S106" s="11"/>
      <c r="T106" s="11"/>
      <c r="U106" s="32" t="str">
        <f aca="false">IF((LEN(A106)+LEN(B106)+LEN(C106)+LEN(D106)+LEN(E106)+LEN(F106)+LEN(G106)+LEN(H106)+LEN(I106)+LEN(J106)+LEN(K106)+LEN(M106)+LEN(N106)+LEN(O106)+LEN(P106)+LEN(Q106)+LEN(R106)+LEN(S106)+LEN(T106))=0,"",IF(OR(A106="",B106="",C106="",D106="",E106="",J106="",K106="",N106=""),"⚠ Champ obligatoire manquant",IF(AND(ISNUMBER(K106),ISNUMBER(J106),N(K106)&gt;N(J106)),"⚠ Prix Autopiec &gt; prix public",IF(COUNTIFS($A$2:$A$1001,A106,$B$2:$B$1001,B106)&gt;1,"⚠ Référence en double","✔ OK"))))</f>
        <v/>
      </c>
    </row>
    <row r="107" customFormat="false" ht="15" hidden="false" customHeight="false" outlineLevel="0" collapsed="false">
      <c r="A107" s="11"/>
      <c r="B107" s="27"/>
      <c r="C107" s="11"/>
      <c r="D107" s="11"/>
      <c r="E107" s="11"/>
      <c r="F107" s="27"/>
      <c r="G107" s="27"/>
      <c r="H107" s="11"/>
      <c r="I107" s="11"/>
      <c r="J107" s="12"/>
      <c r="K107" s="12"/>
      <c r="L107" s="28" t="str">
        <f aca="false">IF(AND(ISNUMBER(J107),ISNUMBER(K107),N(J107)&gt;0),1-K107/J107,"")</f>
        <v/>
      </c>
      <c r="M107" s="29"/>
      <c r="N107" s="30"/>
      <c r="O107" s="30"/>
      <c r="P107" s="11"/>
      <c r="Q107" s="31"/>
      <c r="R107" s="11"/>
      <c r="S107" s="11"/>
      <c r="T107" s="11"/>
      <c r="U107" s="32" t="str">
        <f aca="false">IF((LEN(A107)+LEN(B107)+LEN(C107)+LEN(D107)+LEN(E107)+LEN(F107)+LEN(G107)+LEN(H107)+LEN(I107)+LEN(J107)+LEN(K107)+LEN(M107)+LEN(N107)+LEN(O107)+LEN(P107)+LEN(Q107)+LEN(R107)+LEN(S107)+LEN(T107))=0,"",IF(OR(A107="",B107="",C107="",D107="",E107="",J107="",K107="",N107=""),"⚠ Champ obligatoire manquant",IF(AND(ISNUMBER(K107),ISNUMBER(J107),N(K107)&gt;N(J107)),"⚠ Prix Autopiec &gt; prix public",IF(COUNTIFS($A$2:$A$1001,A107,$B$2:$B$1001,B107)&gt;1,"⚠ Référence en double","✔ OK"))))</f>
        <v/>
      </c>
    </row>
    <row r="108" customFormat="false" ht="15" hidden="false" customHeight="false" outlineLevel="0" collapsed="false">
      <c r="A108" s="11"/>
      <c r="B108" s="27"/>
      <c r="C108" s="11"/>
      <c r="D108" s="11"/>
      <c r="E108" s="11"/>
      <c r="F108" s="27"/>
      <c r="G108" s="27"/>
      <c r="H108" s="11"/>
      <c r="I108" s="11"/>
      <c r="J108" s="12"/>
      <c r="K108" s="12"/>
      <c r="L108" s="28" t="str">
        <f aca="false">IF(AND(ISNUMBER(J108),ISNUMBER(K108),N(J108)&gt;0),1-K108/J108,"")</f>
        <v/>
      </c>
      <c r="M108" s="29"/>
      <c r="N108" s="30"/>
      <c r="O108" s="30"/>
      <c r="P108" s="11"/>
      <c r="Q108" s="31"/>
      <c r="R108" s="11"/>
      <c r="S108" s="11"/>
      <c r="T108" s="11"/>
      <c r="U108" s="32" t="str">
        <f aca="false">IF((LEN(A108)+LEN(B108)+LEN(C108)+LEN(D108)+LEN(E108)+LEN(F108)+LEN(G108)+LEN(H108)+LEN(I108)+LEN(J108)+LEN(K108)+LEN(M108)+LEN(N108)+LEN(O108)+LEN(P108)+LEN(Q108)+LEN(R108)+LEN(S108)+LEN(T108))=0,"",IF(OR(A108="",B108="",C108="",D108="",E108="",J108="",K108="",N108=""),"⚠ Champ obligatoire manquant",IF(AND(ISNUMBER(K108),ISNUMBER(J108),N(K108)&gt;N(J108)),"⚠ Prix Autopiec &gt; prix public",IF(COUNTIFS($A$2:$A$1001,A108,$B$2:$B$1001,B108)&gt;1,"⚠ Référence en double","✔ OK"))))</f>
        <v/>
      </c>
    </row>
    <row r="109" customFormat="false" ht="15" hidden="false" customHeight="false" outlineLevel="0" collapsed="false">
      <c r="A109" s="11"/>
      <c r="B109" s="27"/>
      <c r="C109" s="11"/>
      <c r="D109" s="11"/>
      <c r="E109" s="11"/>
      <c r="F109" s="27"/>
      <c r="G109" s="27"/>
      <c r="H109" s="11"/>
      <c r="I109" s="11"/>
      <c r="J109" s="12"/>
      <c r="K109" s="12"/>
      <c r="L109" s="28" t="str">
        <f aca="false">IF(AND(ISNUMBER(J109),ISNUMBER(K109),N(J109)&gt;0),1-K109/J109,"")</f>
        <v/>
      </c>
      <c r="M109" s="29"/>
      <c r="N109" s="30"/>
      <c r="O109" s="30"/>
      <c r="P109" s="11"/>
      <c r="Q109" s="31"/>
      <c r="R109" s="11"/>
      <c r="S109" s="11"/>
      <c r="T109" s="11"/>
      <c r="U109" s="32" t="str">
        <f aca="false">IF((LEN(A109)+LEN(B109)+LEN(C109)+LEN(D109)+LEN(E109)+LEN(F109)+LEN(G109)+LEN(H109)+LEN(I109)+LEN(J109)+LEN(K109)+LEN(M109)+LEN(N109)+LEN(O109)+LEN(P109)+LEN(Q109)+LEN(R109)+LEN(S109)+LEN(T109))=0,"",IF(OR(A109="",B109="",C109="",D109="",E109="",J109="",K109="",N109=""),"⚠ Champ obligatoire manquant",IF(AND(ISNUMBER(K109),ISNUMBER(J109),N(K109)&gt;N(J109)),"⚠ Prix Autopiec &gt; prix public",IF(COUNTIFS($A$2:$A$1001,A109,$B$2:$B$1001,B109)&gt;1,"⚠ Référence en double","✔ OK"))))</f>
        <v/>
      </c>
    </row>
    <row r="110" customFormat="false" ht="15" hidden="false" customHeight="false" outlineLevel="0" collapsed="false">
      <c r="A110" s="11"/>
      <c r="B110" s="27"/>
      <c r="C110" s="11"/>
      <c r="D110" s="11"/>
      <c r="E110" s="11"/>
      <c r="F110" s="27"/>
      <c r="G110" s="27"/>
      <c r="H110" s="11"/>
      <c r="I110" s="11"/>
      <c r="J110" s="12"/>
      <c r="K110" s="12"/>
      <c r="L110" s="28" t="str">
        <f aca="false">IF(AND(ISNUMBER(J110),ISNUMBER(K110),N(J110)&gt;0),1-K110/J110,"")</f>
        <v/>
      </c>
      <c r="M110" s="29"/>
      <c r="N110" s="30"/>
      <c r="O110" s="30"/>
      <c r="P110" s="11"/>
      <c r="Q110" s="31"/>
      <c r="R110" s="11"/>
      <c r="S110" s="11"/>
      <c r="T110" s="11"/>
      <c r="U110" s="32" t="str">
        <f aca="false">IF((LEN(A110)+LEN(B110)+LEN(C110)+LEN(D110)+LEN(E110)+LEN(F110)+LEN(G110)+LEN(H110)+LEN(I110)+LEN(J110)+LEN(K110)+LEN(M110)+LEN(N110)+LEN(O110)+LEN(P110)+LEN(Q110)+LEN(R110)+LEN(S110)+LEN(T110))=0,"",IF(OR(A110="",B110="",C110="",D110="",E110="",J110="",K110="",N110=""),"⚠ Champ obligatoire manquant",IF(AND(ISNUMBER(K110),ISNUMBER(J110),N(K110)&gt;N(J110)),"⚠ Prix Autopiec &gt; prix public",IF(COUNTIFS($A$2:$A$1001,A110,$B$2:$B$1001,B110)&gt;1,"⚠ Référence en double","✔ OK"))))</f>
        <v/>
      </c>
    </row>
    <row r="111" customFormat="false" ht="15" hidden="false" customHeight="false" outlineLevel="0" collapsed="false">
      <c r="A111" s="11"/>
      <c r="B111" s="27"/>
      <c r="C111" s="11"/>
      <c r="D111" s="11"/>
      <c r="E111" s="11"/>
      <c r="F111" s="27"/>
      <c r="G111" s="27"/>
      <c r="H111" s="11"/>
      <c r="I111" s="11"/>
      <c r="J111" s="12"/>
      <c r="K111" s="12"/>
      <c r="L111" s="28" t="str">
        <f aca="false">IF(AND(ISNUMBER(J111),ISNUMBER(K111),N(J111)&gt;0),1-K111/J111,"")</f>
        <v/>
      </c>
      <c r="M111" s="29"/>
      <c r="N111" s="30"/>
      <c r="O111" s="30"/>
      <c r="P111" s="11"/>
      <c r="Q111" s="31"/>
      <c r="R111" s="11"/>
      <c r="S111" s="11"/>
      <c r="T111" s="11"/>
      <c r="U111" s="32" t="str">
        <f aca="false">IF((LEN(A111)+LEN(B111)+LEN(C111)+LEN(D111)+LEN(E111)+LEN(F111)+LEN(G111)+LEN(H111)+LEN(I111)+LEN(J111)+LEN(K111)+LEN(M111)+LEN(N111)+LEN(O111)+LEN(P111)+LEN(Q111)+LEN(R111)+LEN(S111)+LEN(T111))=0,"",IF(OR(A111="",B111="",C111="",D111="",E111="",J111="",K111="",N111=""),"⚠ Champ obligatoire manquant",IF(AND(ISNUMBER(K111),ISNUMBER(J111),N(K111)&gt;N(J111)),"⚠ Prix Autopiec &gt; prix public",IF(COUNTIFS($A$2:$A$1001,A111,$B$2:$B$1001,B111)&gt;1,"⚠ Référence en double","✔ OK"))))</f>
        <v/>
      </c>
    </row>
    <row r="112" customFormat="false" ht="15" hidden="false" customHeight="false" outlineLevel="0" collapsed="false">
      <c r="A112" s="11"/>
      <c r="B112" s="27"/>
      <c r="C112" s="11"/>
      <c r="D112" s="11"/>
      <c r="E112" s="11"/>
      <c r="F112" s="27"/>
      <c r="G112" s="27"/>
      <c r="H112" s="11"/>
      <c r="I112" s="11"/>
      <c r="J112" s="12"/>
      <c r="K112" s="12"/>
      <c r="L112" s="28" t="str">
        <f aca="false">IF(AND(ISNUMBER(J112),ISNUMBER(K112),N(J112)&gt;0),1-K112/J112,"")</f>
        <v/>
      </c>
      <c r="M112" s="29"/>
      <c r="N112" s="30"/>
      <c r="O112" s="30"/>
      <c r="P112" s="11"/>
      <c r="Q112" s="31"/>
      <c r="R112" s="11"/>
      <c r="S112" s="11"/>
      <c r="T112" s="11"/>
      <c r="U112" s="32" t="str">
        <f aca="false">IF((LEN(A112)+LEN(B112)+LEN(C112)+LEN(D112)+LEN(E112)+LEN(F112)+LEN(G112)+LEN(H112)+LEN(I112)+LEN(J112)+LEN(K112)+LEN(M112)+LEN(N112)+LEN(O112)+LEN(P112)+LEN(Q112)+LEN(R112)+LEN(S112)+LEN(T112))=0,"",IF(OR(A112="",B112="",C112="",D112="",E112="",J112="",K112="",N112=""),"⚠ Champ obligatoire manquant",IF(AND(ISNUMBER(K112),ISNUMBER(J112),N(K112)&gt;N(J112)),"⚠ Prix Autopiec &gt; prix public",IF(COUNTIFS($A$2:$A$1001,A112,$B$2:$B$1001,B112)&gt;1,"⚠ Référence en double","✔ OK"))))</f>
        <v/>
      </c>
    </row>
    <row r="113" customFormat="false" ht="15" hidden="false" customHeight="false" outlineLevel="0" collapsed="false">
      <c r="A113" s="11"/>
      <c r="B113" s="27"/>
      <c r="C113" s="11"/>
      <c r="D113" s="11"/>
      <c r="E113" s="11"/>
      <c r="F113" s="27"/>
      <c r="G113" s="27"/>
      <c r="H113" s="11"/>
      <c r="I113" s="11"/>
      <c r="J113" s="12"/>
      <c r="K113" s="12"/>
      <c r="L113" s="28" t="str">
        <f aca="false">IF(AND(ISNUMBER(J113),ISNUMBER(K113),N(J113)&gt;0),1-K113/J113,"")</f>
        <v/>
      </c>
      <c r="M113" s="29"/>
      <c r="N113" s="30"/>
      <c r="O113" s="30"/>
      <c r="P113" s="11"/>
      <c r="Q113" s="31"/>
      <c r="R113" s="11"/>
      <c r="S113" s="11"/>
      <c r="T113" s="11"/>
      <c r="U113" s="32" t="str">
        <f aca="false">IF((LEN(A113)+LEN(B113)+LEN(C113)+LEN(D113)+LEN(E113)+LEN(F113)+LEN(G113)+LEN(H113)+LEN(I113)+LEN(J113)+LEN(K113)+LEN(M113)+LEN(N113)+LEN(O113)+LEN(P113)+LEN(Q113)+LEN(R113)+LEN(S113)+LEN(T113))=0,"",IF(OR(A113="",B113="",C113="",D113="",E113="",J113="",K113="",N113=""),"⚠ Champ obligatoire manquant",IF(AND(ISNUMBER(K113),ISNUMBER(J113),N(K113)&gt;N(J113)),"⚠ Prix Autopiec &gt; prix public",IF(COUNTIFS($A$2:$A$1001,A113,$B$2:$B$1001,B113)&gt;1,"⚠ Référence en double","✔ OK"))))</f>
        <v/>
      </c>
    </row>
    <row r="114" customFormat="false" ht="15" hidden="false" customHeight="false" outlineLevel="0" collapsed="false">
      <c r="A114" s="11"/>
      <c r="B114" s="27"/>
      <c r="C114" s="11"/>
      <c r="D114" s="11"/>
      <c r="E114" s="11"/>
      <c r="F114" s="27"/>
      <c r="G114" s="27"/>
      <c r="H114" s="11"/>
      <c r="I114" s="11"/>
      <c r="J114" s="12"/>
      <c r="K114" s="12"/>
      <c r="L114" s="28" t="str">
        <f aca="false">IF(AND(ISNUMBER(J114),ISNUMBER(K114),N(J114)&gt;0),1-K114/J114,"")</f>
        <v/>
      </c>
      <c r="M114" s="29"/>
      <c r="N114" s="30"/>
      <c r="O114" s="30"/>
      <c r="P114" s="11"/>
      <c r="Q114" s="31"/>
      <c r="R114" s="11"/>
      <c r="S114" s="11"/>
      <c r="T114" s="11"/>
      <c r="U114" s="32" t="str">
        <f aca="false">IF((LEN(A114)+LEN(B114)+LEN(C114)+LEN(D114)+LEN(E114)+LEN(F114)+LEN(G114)+LEN(H114)+LEN(I114)+LEN(J114)+LEN(K114)+LEN(M114)+LEN(N114)+LEN(O114)+LEN(P114)+LEN(Q114)+LEN(R114)+LEN(S114)+LEN(T114))=0,"",IF(OR(A114="",B114="",C114="",D114="",E114="",J114="",K114="",N114=""),"⚠ Champ obligatoire manquant",IF(AND(ISNUMBER(K114),ISNUMBER(J114),N(K114)&gt;N(J114)),"⚠ Prix Autopiec &gt; prix public",IF(COUNTIFS($A$2:$A$1001,A114,$B$2:$B$1001,B114)&gt;1,"⚠ Référence en double","✔ OK"))))</f>
        <v/>
      </c>
    </row>
    <row r="115" customFormat="false" ht="15" hidden="false" customHeight="false" outlineLevel="0" collapsed="false">
      <c r="A115" s="11"/>
      <c r="B115" s="27"/>
      <c r="C115" s="11"/>
      <c r="D115" s="11"/>
      <c r="E115" s="11"/>
      <c r="F115" s="27"/>
      <c r="G115" s="27"/>
      <c r="H115" s="11"/>
      <c r="I115" s="11"/>
      <c r="J115" s="12"/>
      <c r="K115" s="12"/>
      <c r="L115" s="28" t="str">
        <f aca="false">IF(AND(ISNUMBER(J115),ISNUMBER(K115),N(J115)&gt;0),1-K115/J115,"")</f>
        <v/>
      </c>
      <c r="M115" s="29"/>
      <c r="N115" s="30"/>
      <c r="O115" s="30"/>
      <c r="P115" s="11"/>
      <c r="Q115" s="31"/>
      <c r="R115" s="11"/>
      <c r="S115" s="11"/>
      <c r="T115" s="11"/>
      <c r="U115" s="32" t="str">
        <f aca="false">IF((LEN(A115)+LEN(B115)+LEN(C115)+LEN(D115)+LEN(E115)+LEN(F115)+LEN(G115)+LEN(H115)+LEN(I115)+LEN(J115)+LEN(K115)+LEN(M115)+LEN(N115)+LEN(O115)+LEN(P115)+LEN(Q115)+LEN(R115)+LEN(S115)+LEN(T115))=0,"",IF(OR(A115="",B115="",C115="",D115="",E115="",J115="",K115="",N115=""),"⚠ Champ obligatoire manquant",IF(AND(ISNUMBER(K115),ISNUMBER(J115),N(K115)&gt;N(J115)),"⚠ Prix Autopiec &gt; prix public",IF(COUNTIFS($A$2:$A$1001,A115,$B$2:$B$1001,B115)&gt;1,"⚠ Référence en double","✔ OK"))))</f>
        <v/>
      </c>
    </row>
    <row r="116" customFormat="false" ht="15" hidden="false" customHeight="false" outlineLevel="0" collapsed="false">
      <c r="A116" s="11"/>
      <c r="B116" s="27"/>
      <c r="C116" s="11"/>
      <c r="D116" s="11"/>
      <c r="E116" s="11"/>
      <c r="F116" s="27"/>
      <c r="G116" s="27"/>
      <c r="H116" s="11"/>
      <c r="I116" s="11"/>
      <c r="J116" s="12"/>
      <c r="K116" s="12"/>
      <c r="L116" s="28" t="str">
        <f aca="false">IF(AND(ISNUMBER(J116),ISNUMBER(K116),N(J116)&gt;0),1-K116/J116,"")</f>
        <v/>
      </c>
      <c r="M116" s="29"/>
      <c r="N116" s="30"/>
      <c r="O116" s="30"/>
      <c r="P116" s="11"/>
      <c r="Q116" s="31"/>
      <c r="R116" s="11"/>
      <c r="S116" s="11"/>
      <c r="T116" s="11"/>
      <c r="U116" s="32" t="str">
        <f aca="false">IF((LEN(A116)+LEN(B116)+LEN(C116)+LEN(D116)+LEN(E116)+LEN(F116)+LEN(G116)+LEN(H116)+LEN(I116)+LEN(J116)+LEN(K116)+LEN(M116)+LEN(N116)+LEN(O116)+LEN(P116)+LEN(Q116)+LEN(R116)+LEN(S116)+LEN(T116))=0,"",IF(OR(A116="",B116="",C116="",D116="",E116="",J116="",K116="",N116=""),"⚠ Champ obligatoire manquant",IF(AND(ISNUMBER(K116),ISNUMBER(J116),N(K116)&gt;N(J116)),"⚠ Prix Autopiec &gt; prix public",IF(COUNTIFS($A$2:$A$1001,A116,$B$2:$B$1001,B116)&gt;1,"⚠ Référence en double","✔ OK"))))</f>
        <v/>
      </c>
    </row>
    <row r="117" customFormat="false" ht="15" hidden="false" customHeight="false" outlineLevel="0" collapsed="false">
      <c r="A117" s="11"/>
      <c r="B117" s="27"/>
      <c r="C117" s="11"/>
      <c r="D117" s="11"/>
      <c r="E117" s="11"/>
      <c r="F117" s="27"/>
      <c r="G117" s="27"/>
      <c r="H117" s="11"/>
      <c r="I117" s="11"/>
      <c r="J117" s="12"/>
      <c r="K117" s="12"/>
      <c r="L117" s="28" t="str">
        <f aca="false">IF(AND(ISNUMBER(J117),ISNUMBER(K117),N(J117)&gt;0),1-K117/J117,"")</f>
        <v/>
      </c>
      <c r="M117" s="29"/>
      <c r="N117" s="30"/>
      <c r="O117" s="30"/>
      <c r="P117" s="11"/>
      <c r="Q117" s="31"/>
      <c r="R117" s="11"/>
      <c r="S117" s="11"/>
      <c r="T117" s="11"/>
      <c r="U117" s="32" t="str">
        <f aca="false">IF((LEN(A117)+LEN(B117)+LEN(C117)+LEN(D117)+LEN(E117)+LEN(F117)+LEN(G117)+LEN(H117)+LEN(I117)+LEN(J117)+LEN(K117)+LEN(M117)+LEN(N117)+LEN(O117)+LEN(P117)+LEN(Q117)+LEN(R117)+LEN(S117)+LEN(T117))=0,"",IF(OR(A117="",B117="",C117="",D117="",E117="",J117="",K117="",N117=""),"⚠ Champ obligatoire manquant",IF(AND(ISNUMBER(K117),ISNUMBER(J117),N(K117)&gt;N(J117)),"⚠ Prix Autopiec &gt; prix public",IF(COUNTIFS($A$2:$A$1001,A117,$B$2:$B$1001,B117)&gt;1,"⚠ Référence en double","✔ OK"))))</f>
        <v/>
      </c>
    </row>
    <row r="118" customFormat="false" ht="15" hidden="false" customHeight="false" outlineLevel="0" collapsed="false">
      <c r="A118" s="11"/>
      <c r="B118" s="27"/>
      <c r="C118" s="11"/>
      <c r="D118" s="11"/>
      <c r="E118" s="11"/>
      <c r="F118" s="27"/>
      <c r="G118" s="27"/>
      <c r="H118" s="11"/>
      <c r="I118" s="11"/>
      <c r="J118" s="12"/>
      <c r="K118" s="12"/>
      <c r="L118" s="28" t="str">
        <f aca="false">IF(AND(ISNUMBER(J118),ISNUMBER(K118),N(J118)&gt;0),1-K118/J118,"")</f>
        <v/>
      </c>
      <c r="M118" s="29"/>
      <c r="N118" s="30"/>
      <c r="O118" s="30"/>
      <c r="P118" s="11"/>
      <c r="Q118" s="31"/>
      <c r="R118" s="11"/>
      <c r="S118" s="11"/>
      <c r="T118" s="11"/>
      <c r="U118" s="32" t="str">
        <f aca="false">IF((LEN(A118)+LEN(B118)+LEN(C118)+LEN(D118)+LEN(E118)+LEN(F118)+LEN(G118)+LEN(H118)+LEN(I118)+LEN(J118)+LEN(K118)+LEN(M118)+LEN(N118)+LEN(O118)+LEN(P118)+LEN(Q118)+LEN(R118)+LEN(S118)+LEN(T118))=0,"",IF(OR(A118="",B118="",C118="",D118="",E118="",J118="",K118="",N118=""),"⚠ Champ obligatoire manquant",IF(AND(ISNUMBER(K118),ISNUMBER(J118),N(K118)&gt;N(J118)),"⚠ Prix Autopiec &gt; prix public",IF(COUNTIFS($A$2:$A$1001,A118,$B$2:$B$1001,B118)&gt;1,"⚠ Référence en double","✔ OK"))))</f>
        <v/>
      </c>
    </row>
    <row r="119" customFormat="false" ht="15" hidden="false" customHeight="false" outlineLevel="0" collapsed="false">
      <c r="A119" s="11"/>
      <c r="B119" s="27"/>
      <c r="C119" s="11"/>
      <c r="D119" s="11"/>
      <c r="E119" s="11"/>
      <c r="F119" s="27"/>
      <c r="G119" s="27"/>
      <c r="H119" s="11"/>
      <c r="I119" s="11"/>
      <c r="J119" s="12"/>
      <c r="K119" s="12"/>
      <c r="L119" s="28" t="str">
        <f aca="false">IF(AND(ISNUMBER(J119),ISNUMBER(K119),N(J119)&gt;0),1-K119/J119,"")</f>
        <v/>
      </c>
      <c r="M119" s="29"/>
      <c r="N119" s="30"/>
      <c r="O119" s="30"/>
      <c r="P119" s="11"/>
      <c r="Q119" s="31"/>
      <c r="R119" s="11"/>
      <c r="S119" s="11"/>
      <c r="T119" s="11"/>
      <c r="U119" s="32" t="str">
        <f aca="false">IF((LEN(A119)+LEN(B119)+LEN(C119)+LEN(D119)+LEN(E119)+LEN(F119)+LEN(G119)+LEN(H119)+LEN(I119)+LEN(J119)+LEN(K119)+LEN(M119)+LEN(N119)+LEN(O119)+LEN(P119)+LEN(Q119)+LEN(R119)+LEN(S119)+LEN(T119))=0,"",IF(OR(A119="",B119="",C119="",D119="",E119="",J119="",K119="",N119=""),"⚠ Champ obligatoire manquant",IF(AND(ISNUMBER(K119),ISNUMBER(J119),N(K119)&gt;N(J119)),"⚠ Prix Autopiec &gt; prix public",IF(COUNTIFS($A$2:$A$1001,A119,$B$2:$B$1001,B119)&gt;1,"⚠ Référence en double","✔ OK"))))</f>
        <v/>
      </c>
    </row>
    <row r="120" customFormat="false" ht="15" hidden="false" customHeight="false" outlineLevel="0" collapsed="false">
      <c r="A120" s="11"/>
      <c r="B120" s="27"/>
      <c r="C120" s="11"/>
      <c r="D120" s="11"/>
      <c r="E120" s="11"/>
      <c r="F120" s="27"/>
      <c r="G120" s="27"/>
      <c r="H120" s="11"/>
      <c r="I120" s="11"/>
      <c r="J120" s="12"/>
      <c r="K120" s="12"/>
      <c r="L120" s="28" t="str">
        <f aca="false">IF(AND(ISNUMBER(J120),ISNUMBER(K120),N(J120)&gt;0),1-K120/J120,"")</f>
        <v/>
      </c>
      <c r="M120" s="29"/>
      <c r="N120" s="30"/>
      <c r="O120" s="30"/>
      <c r="P120" s="11"/>
      <c r="Q120" s="31"/>
      <c r="R120" s="11"/>
      <c r="S120" s="11"/>
      <c r="T120" s="11"/>
      <c r="U120" s="32" t="str">
        <f aca="false">IF((LEN(A120)+LEN(B120)+LEN(C120)+LEN(D120)+LEN(E120)+LEN(F120)+LEN(G120)+LEN(H120)+LEN(I120)+LEN(J120)+LEN(K120)+LEN(M120)+LEN(N120)+LEN(O120)+LEN(P120)+LEN(Q120)+LEN(R120)+LEN(S120)+LEN(T120))=0,"",IF(OR(A120="",B120="",C120="",D120="",E120="",J120="",K120="",N120=""),"⚠ Champ obligatoire manquant",IF(AND(ISNUMBER(K120),ISNUMBER(J120),N(K120)&gt;N(J120)),"⚠ Prix Autopiec &gt; prix public",IF(COUNTIFS($A$2:$A$1001,A120,$B$2:$B$1001,B120)&gt;1,"⚠ Référence en double","✔ OK"))))</f>
        <v/>
      </c>
    </row>
    <row r="121" customFormat="false" ht="15" hidden="false" customHeight="false" outlineLevel="0" collapsed="false">
      <c r="A121" s="11"/>
      <c r="B121" s="27"/>
      <c r="C121" s="11"/>
      <c r="D121" s="11"/>
      <c r="E121" s="11"/>
      <c r="F121" s="27"/>
      <c r="G121" s="27"/>
      <c r="H121" s="11"/>
      <c r="I121" s="11"/>
      <c r="J121" s="12"/>
      <c r="K121" s="12"/>
      <c r="L121" s="28" t="str">
        <f aca="false">IF(AND(ISNUMBER(J121),ISNUMBER(K121),N(J121)&gt;0),1-K121/J121,"")</f>
        <v/>
      </c>
      <c r="M121" s="29"/>
      <c r="N121" s="30"/>
      <c r="O121" s="30"/>
      <c r="P121" s="11"/>
      <c r="Q121" s="31"/>
      <c r="R121" s="11"/>
      <c r="S121" s="11"/>
      <c r="T121" s="11"/>
      <c r="U121" s="32" t="str">
        <f aca="false">IF((LEN(A121)+LEN(B121)+LEN(C121)+LEN(D121)+LEN(E121)+LEN(F121)+LEN(G121)+LEN(H121)+LEN(I121)+LEN(J121)+LEN(K121)+LEN(M121)+LEN(N121)+LEN(O121)+LEN(P121)+LEN(Q121)+LEN(R121)+LEN(S121)+LEN(T121))=0,"",IF(OR(A121="",B121="",C121="",D121="",E121="",J121="",K121="",N121=""),"⚠ Champ obligatoire manquant",IF(AND(ISNUMBER(K121),ISNUMBER(J121),N(K121)&gt;N(J121)),"⚠ Prix Autopiec &gt; prix public",IF(COUNTIFS($A$2:$A$1001,A121,$B$2:$B$1001,B121)&gt;1,"⚠ Référence en double","✔ OK"))))</f>
        <v/>
      </c>
    </row>
    <row r="122" customFormat="false" ht="15" hidden="false" customHeight="false" outlineLevel="0" collapsed="false">
      <c r="A122" s="11"/>
      <c r="B122" s="27"/>
      <c r="C122" s="11"/>
      <c r="D122" s="11"/>
      <c r="E122" s="11"/>
      <c r="F122" s="27"/>
      <c r="G122" s="27"/>
      <c r="H122" s="11"/>
      <c r="I122" s="11"/>
      <c r="J122" s="12"/>
      <c r="K122" s="12"/>
      <c r="L122" s="28" t="str">
        <f aca="false">IF(AND(ISNUMBER(J122),ISNUMBER(K122),N(J122)&gt;0),1-K122/J122,"")</f>
        <v/>
      </c>
      <c r="M122" s="29"/>
      <c r="N122" s="30"/>
      <c r="O122" s="30"/>
      <c r="P122" s="11"/>
      <c r="Q122" s="31"/>
      <c r="R122" s="11"/>
      <c r="S122" s="11"/>
      <c r="T122" s="11"/>
      <c r="U122" s="32" t="str">
        <f aca="false">IF((LEN(A122)+LEN(B122)+LEN(C122)+LEN(D122)+LEN(E122)+LEN(F122)+LEN(G122)+LEN(H122)+LEN(I122)+LEN(J122)+LEN(K122)+LEN(M122)+LEN(N122)+LEN(O122)+LEN(P122)+LEN(Q122)+LEN(R122)+LEN(S122)+LEN(T122))=0,"",IF(OR(A122="",B122="",C122="",D122="",E122="",J122="",K122="",N122=""),"⚠ Champ obligatoire manquant",IF(AND(ISNUMBER(K122),ISNUMBER(J122),N(K122)&gt;N(J122)),"⚠ Prix Autopiec &gt; prix public",IF(COUNTIFS($A$2:$A$1001,A122,$B$2:$B$1001,B122)&gt;1,"⚠ Référence en double","✔ OK"))))</f>
        <v/>
      </c>
    </row>
    <row r="123" customFormat="false" ht="15" hidden="false" customHeight="false" outlineLevel="0" collapsed="false">
      <c r="A123" s="11"/>
      <c r="B123" s="27"/>
      <c r="C123" s="11"/>
      <c r="D123" s="11"/>
      <c r="E123" s="11"/>
      <c r="F123" s="27"/>
      <c r="G123" s="27"/>
      <c r="H123" s="11"/>
      <c r="I123" s="11"/>
      <c r="J123" s="12"/>
      <c r="K123" s="12"/>
      <c r="L123" s="28" t="str">
        <f aca="false">IF(AND(ISNUMBER(J123),ISNUMBER(K123),N(J123)&gt;0),1-K123/J123,"")</f>
        <v/>
      </c>
      <c r="M123" s="29"/>
      <c r="N123" s="30"/>
      <c r="O123" s="30"/>
      <c r="P123" s="11"/>
      <c r="Q123" s="31"/>
      <c r="R123" s="11"/>
      <c r="S123" s="11"/>
      <c r="T123" s="11"/>
      <c r="U123" s="32" t="str">
        <f aca="false">IF((LEN(A123)+LEN(B123)+LEN(C123)+LEN(D123)+LEN(E123)+LEN(F123)+LEN(G123)+LEN(H123)+LEN(I123)+LEN(J123)+LEN(K123)+LEN(M123)+LEN(N123)+LEN(O123)+LEN(P123)+LEN(Q123)+LEN(R123)+LEN(S123)+LEN(T123))=0,"",IF(OR(A123="",B123="",C123="",D123="",E123="",J123="",K123="",N123=""),"⚠ Champ obligatoire manquant",IF(AND(ISNUMBER(K123),ISNUMBER(J123),N(K123)&gt;N(J123)),"⚠ Prix Autopiec &gt; prix public",IF(COUNTIFS($A$2:$A$1001,A123,$B$2:$B$1001,B123)&gt;1,"⚠ Référence en double","✔ OK"))))</f>
        <v/>
      </c>
    </row>
    <row r="124" customFormat="false" ht="15" hidden="false" customHeight="false" outlineLevel="0" collapsed="false">
      <c r="A124" s="11"/>
      <c r="B124" s="27"/>
      <c r="C124" s="11"/>
      <c r="D124" s="11"/>
      <c r="E124" s="11"/>
      <c r="F124" s="27"/>
      <c r="G124" s="27"/>
      <c r="H124" s="11"/>
      <c r="I124" s="11"/>
      <c r="J124" s="12"/>
      <c r="K124" s="12"/>
      <c r="L124" s="28" t="str">
        <f aca="false">IF(AND(ISNUMBER(J124),ISNUMBER(K124),N(J124)&gt;0),1-K124/J124,"")</f>
        <v/>
      </c>
      <c r="M124" s="29"/>
      <c r="N124" s="30"/>
      <c r="O124" s="30"/>
      <c r="P124" s="11"/>
      <c r="Q124" s="31"/>
      <c r="R124" s="11"/>
      <c r="S124" s="11"/>
      <c r="T124" s="11"/>
      <c r="U124" s="32" t="str">
        <f aca="false">IF((LEN(A124)+LEN(B124)+LEN(C124)+LEN(D124)+LEN(E124)+LEN(F124)+LEN(G124)+LEN(H124)+LEN(I124)+LEN(J124)+LEN(K124)+LEN(M124)+LEN(N124)+LEN(O124)+LEN(P124)+LEN(Q124)+LEN(R124)+LEN(S124)+LEN(T124))=0,"",IF(OR(A124="",B124="",C124="",D124="",E124="",J124="",K124="",N124=""),"⚠ Champ obligatoire manquant",IF(AND(ISNUMBER(K124),ISNUMBER(J124),N(K124)&gt;N(J124)),"⚠ Prix Autopiec &gt; prix public",IF(COUNTIFS($A$2:$A$1001,A124,$B$2:$B$1001,B124)&gt;1,"⚠ Référence en double","✔ OK"))))</f>
        <v/>
      </c>
    </row>
    <row r="125" customFormat="false" ht="15" hidden="false" customHeight="false" outlineLevel="0" collapsed="false">
      <c r="A125" s="11"/>
      <c r="B125" s="27"/>
      <c r="C125" s="11"/>
      <c r="D125" s="11"/>
      <c r="E125" s="11"/>
      <c r="F125" s="27"/>
      <c r="G125" s="27"/>
      <c r="H125" s="11"/>
      <c r="I125" s="11"/>
      <c r="J125" s="12"/>
      <c r="K125" s="12"/>
      <c r="L125" s="28" t="str">
        <f aca="false">IF(AND(ISNUMBER(J125),ISNUMBER(K125),N(J125)&gt;0),1-K125/J125,"")</f>
        <v/>
      </c>
      <c r="M125" s="29"/>
      <c r="N125" s="30"/>
      <c r="O125" s="30"/>
      <c r="P125" s="11"/>
      <c r="Q125" s="31"/>
      <c r="R125" s="11"/>
      <c r="S125" s="11"/>
      <c r="T125" s="11"/>
      <c r="U125" s="32" t="str">
        <f aca="false">IF((LEN(A125)+LEN(B125)+LEN(C125)+LEN(D125)+LEN(E125)+LEN(F125)+LEN(G125)+LEN(H125)+LEN(I125)+LEN(J125)+LEN(K125)+LEN(M125)+LEN(N125)+LEN(O125)+LEN(P125)+LEN(Q125)+LEN(R125)+LEN(S125)+LEN(T125))=0,"",IF(OR(A125="",B125="",C125="",D125="",E125="",J125="",K125="",N125=""),"⚠ Champ obligatoire manquant",IF(AND(ISNUMBER(K125),ISNUMBER(J125),N(K125)&gt;N(J125)),"⚠ Prix Autopiec &gt; prix public",IF(COUNTIFS($A$2:$A$1001,A125,$B$2:$B$1001,B125)&gt;1,"⚠ Référence en double","✔ OK"))))</f>
        <v/>
      </c>
    </row>
    <row r="126" customFormat="false" ht="15" hidden="false" customHeight="false" outlineLevel="0" collapsed="false">
      <c r="A126" s="11"/>
      <c r="B126" s="27"/>
      <c r="C126" s="11"/>
      <c r="D126" s="11"/>
      <c r="E126" s="11"/>
      <c r="F126" s="27"/>
      <c r="G126" s="27"/>
      <c r="H126" s="11"/>
      <c r="I126" s="11"/>
      <c r="J126" s="12"/>
      <c r="K126" s="12"/>
      <c r="L126" s="28" t="str">
        <f aca="false">IF(AND(ISNUMBER(J126),ISNUMBER(K126),N(J126)&gt;0),1-K126/J126,"")</f>
        <v/>
      </c>
      <c r="M126" s="29"/>
      <c r="N126" s="30"/>
      <c r="O126" s="30"/>
      <c r="P126" s="11"/>
      <c r="Q126" s="31"/>
      <c r="R126" s="11"/>
      <c r="S126" s="11"/>
      <c r="T126" s="11"/>
      <c r="U126" s="32" t="str">
        <f aca="false">IF((LEN(A126)+LEN(B126)+LEN(C126)+LEN(D126)+LEN(E126)+LEN(F126)+LEN(G126)+LEN(H126)+LEN(I126)+LEN(J126)+LEN(K126)+LEN(M126)+LEN(N126)+LEN(O126)+LEN(P126)+LEN(Q126)+LEN(R126)+LEN(S126)+LEN(T126))=0,"",IF(OR(A126="",B126="",C126="",D126="",E126="",J126="",K126="",N126=""),"⚠ Champ obligatoire manquant",IF(AND(ISNUMBER(K126),ISNUMBER(J126),N(K126)&gt;N(J126)),"⚠ Prix Autopiec &gt; prix public",IF(COUNTIFS($A$2:$A$1001,A126,$B$2:$B$1001,B126)&gt;1,"⚠ Référence en double","✔ OK"))))</f>
        <v/>
      </c>
    </row>
    <row r="127" customFormat="false" ht="15" hidden="false" customHeight="false" outlineLevel="0" collapsed="false">
      <c r="A127" s="11"/>
      <c r="B127" s="27"/>
      <c r="C127" s="11"/>
      <c r="D127" s="11"/>
      <c r="E127" s="11"/>
      <c r="F127" s="27"/>
      <c r="G127" s="27"/>
      <c r="H127" s="11"/>
      <c r="I127" s="11"/>
      <c r="J127" s="12"/>
      <c r="K127" s="12"/>
      <c r="L127" s="28" t="str">
        <f aca="false">IF(AND(ISNUMBER(J127),ISNUMBER(K127),N(J127)&gt;0),1-K127/J127,"")</f>
        <v/>
      </c>
      <c r="M127" s="29"/>
      <c r="N127" s="30"/>
      <c r="O127" s="30"/>
      <c r="P127" s="11"/>
      <c r="Q127" s="31"/>
      <c r="R127" s="11"/>
      <c r="S127" s="11"/>
      <c r="T127" s="11"/>
      <c r="U127" s="32" t="str">
        <f aca="false">IF((LEN(A127)+LEN(B127)+LEN(C127)+LEN(D127)+LEN(E127)+LEN(F127)+LEN(G127)+LEN(H127)+LEN(I127)+LEN(J127)+LEN(K127)+LEN(M127)+LEN(N127)+LEN(O127)+LEN(P127)+LEN(Q127)+LEN(R127)+LEN(S127)+LEN(T127))=0,"",IF(OR(A127="",B127="",C127="",D127="",E127="",J127="",K127="",N127=""),"⚠ Champ obligatoire manquant",IF(AND(ISNUMBER(K127),ISNUMBER(J127),N(K127)&gt;N(J127)),"⚠ Prix Autopiec &gt; prix public",IF(COUNTIFS($A$2:$A$1001,A127,$B$2:$B$1001,B127)&gt;1,"⚠ Référence en double","✔ OK"))))</f>
        <v/>
      </c>
    </row>
    <row r="128" customFormat="false" ht="15" hidden="false" customHeight="false" outlineLevel="0" collapsed="false">
      <c r="A128" s="11"/>
      <c r="B128" s="27"/>
      <c r="C128" s="11"/>
      <c r="D128" s="11"/>
      <c r="E128" s="11"/>
      <c r="F128" s="27"/>
      <c r="G128" s="27"/>
      <c r="H128" s="11"/>
      <c r="I128" s="11"/>
      <c r="J128" s="12"/>
      <c r="K128" s="12"/>
      <c r="L128" s="28" t="str">
        <f aca="false">IF(AND(ISNUMBER(J128),ISNUMBER(K128),N(J128)&gt;0),1-K128/J128,"")</f>
        <v/>
      </c>
      <c r="M128" s="29"/>
      <c r="N128" s="30"/>
      <c r="O128" s="30"/>
      <c r="P128" s="11"/>
      <c r="Q128" s="31"/>
      <c r="R128" s="11"/>
      <c r="S128" s="11"/>
      <c r="T128" s="11"/>
      <c r="U128" s="32" t="str">
        <f aca="false">IF((LEN(A128)+LEN(B128)+LEN(C128)+LEN(D128)+LEN(E128)+LEN(F128)+LEN(G128)+LEN(H128)+LEN(I128)+LEN(J128)+LEN(K128)+LEN(M128)+LEN(N128)+LEN(O128)+LEN(P128)+LEN(Q128)+LEN(R128)+LEN(S128)+LEN(T128))=0,"",IF(OR(A128="",B128="",C128="",D128="",E128="",J128="",K128="",N128=""),"⚠ Champ obligatoire manquant",IF(AND(ISNUMBER(K128),ISNUMBER(J128),N(K128)&gt;N(J128)),"⚠ Prix Autopiec &gt; prix public",IF(COUNTIFS($A$2:$A$1001,A128,$B$2:$B$1001,B128)&gt;1,"⚠ Référence en double","✔ OK"))))</f>
        <v/>
      </c>
    </row>
    <row r="129" customFormat="false" ht="15" hidden="false" customHeight="false" outlineLevel="0" collapsed="false">
      <c r="A129" s="11"/>
      <c r="B129" s="27"/>
      <c r="C129" s="11"/>
      <c r="D129" s="11"/>
      <c r="E129" s="11"/>
      <c r="F129" s="27"/>
      <c r="G129" s="27"/>
      <c r="H129" s="11"/>
      <c r="I129" s="11"/>
      <c r="J129" s="12"/>
      <c r="K129" s="12"/>
      <c r="L129" s="28" t="str">
        <f aca="false">IF(AND(ISNUMBER(J129),ISNUMBER(K129),N(J129)&gt;0),1-K129/J129,"")</f>
        <v/>
      </c>
      <c r="M129" s="29"/>
      <c r="N129" s="30"/>
      <c r="O129" s="30"/>
      <c r="P129" s="11"/>
      <c r="Q129" s="31"/>
      <c r="R129" s="11"/>
      <c r="S129" s="11"/>
      <c r="T129" s="11"/>
      <c r="U129" s="32" t="str">
        <f aca="false">IF((LEN(A129)+LEN(B129)+LEN(C129)+LEN(D129)+LEN(E129)+LEN(F129)+LEN(G129)+LEN(H129)+LEN(I129)+LEN(J129)+LEN(K129)+LEN(M129)+LEN(N129)+LEN(O129)+LEN(P129)+LEN(Q129)+LEN(R129)+LEN(S129)+LEN(T129))=0,"",IF(OR(A129="",B129="",C129="",D129="",E129="",J129="",K129="",N129=""),"⚠ Champ obligatoire manquant",IF(AND(ISNUMBER(K129),ISNUMBER(J129),N(K129)&gt;N(J129)),"⚠ Prix Autopiec &gt; prix public",IF(COUNTIFS($A$2:$A$1001,A129,$B$2:$B$1001,B129)&gt;1,"⚠ Référence en double","✔ OK"))))</f>
        <v/>
      </c>
    </row>
    <row r="130" customFormat="false" ht="15" hidden="false" customHeight="false" outlineLevel="0" collapsed="false">
      <c r="A130" s="11"/>
      <c r="B130" s="27"/>
      <c r="C130" s="11"/>
      <c r="D130" s="11"/>
      <c r="E130" s="11"/>
      <c r="F130" s="27"/>
      <c r="G130" s="27"/>
      <c r="H130" s="11"/>
      <c r="I130" s="11"/>
      <c r="J130" s="12"/>
      <c r="K130" s="12"/>
      <c r="L130" s="28" t="str">
        <f aca="false">IF(AND(ISNUMBER(J130),ISNUMBER(K130),N(J130)&gt;0),1-K130/J130,"")</f>
        <v/>
      </c>
      <c r="M130" s="29"/>
      <c r="N130" s="30"/>
      <c r="O130" s="30"/>
      <c r="P130" s="11"/>
      <c r="Q130" s="31"/>
      <c r="R130" s="11"/>
      <c r="S130" s="11"/>
      <c r="T130" s="11"/>
      <c r="U130" s="32" t="str">
        <f aca="false">IF((LEN(A130)+LEN(B130)+LEN(C130)+LEN(D130)+LEN(E130)+LEN(F130)+LEN(G130)+LEN(H130)+LEN(I130)+LEN(J130)+LEN(K130)+LEN(M130)+LEN(N130)+LEN(O130)+LEN(P130)+LEN(Q130)+LEN(R130)+LEN(S130)+LEN(T130))=0,"",IF(OR(A130="",B130="",C130="",D130="",E130="",J130="",K130="",N130=""),"⚠ Champ obligatoire manquant",IF(AND(ISNUMBER(K130),ISNUMBER(J130),N(K130)&gt;N(J130)),"⚠ Prix Autopiec &gt; prix public",IF(COUNTIFS($A$2:$A$1001,A130,$B$2:$B$1001,B130)&gt;1,"⚠ Référence en double","✔ OK"))))</f>
        <v/>
      </c>
    </row>
    <row r="131" customFormat="false" ht="15" hidden="false" customHeight="false" outlineLevel="0" collapsed="false">
      <c r="A131" s="11"/>
      <c r="B131" s="27"/>
      <c r="C131" s="11"/>
      <c r="D131" s="11"/>
      <c r="E131" s="11"/>
      <c r="F131" s="27"/>
      <c r="G131" s="27"/>
      <c r="H131" s="11"/>
      <c r="I131" s="11"/>
      <c r="J131" s="12"/>
      <c r="K131" s="12"/>
      <c r="L131" s="28" t="str">
        <f aca="false">IF(AND(ISNUMBER(J131),ISNUMBER(K131),N(J131)&gt;0),1-K131/J131,"")</f>
        <v/>
      </c>
      <c r="M131" s="29"/>
      <c r="N131" s="30"/>
      <c r="O131" s="30"/>
      <c r="P131" s="11"/>
      <c r="Q131" s="31"/>
      <c r="R131" s="11"/>
      <c r="S131" s="11"/>
      <c r="T131" s="11"/>
      <c r="U131" s="32" t="str">
        <f aca="false">IF((LEN(A131)+LEN(B131)+LEN(C131)+LEN(D131)+LEN(E131)+LEN(F131)+LEN(G131)+LEN(H131)+LEN(I131)+LEN(J131)+LEN(K131)+LEN(M131)+LEN(N131)+LEN(O131)+LEN(P131)+LEN(Q131)+LEN(R131)+LEN(S131)+LEN(T131))=0,"",IF(OR(A131="",B131="",C131="",D131="",E131="",J131="",K131="",N131=""),"⚠ Champ obligatoire manquant",IF(AND(ISNUMBER(K131),ISNUMBER(J131),N(K131)&gt;N(J131)),"⚠ Prix Autopiec &gt; prix public",IF(COUNTIFS($A$2:$A$1001,A131,$B$2:$B$1001,B131)&gt;1,"⚠ Référence en double","✔ OK"))))</f>
        <v/>
      </c>
    </row>
    <row r="132" customFormat="false" ht="15" hidden="false" customHeight="false" outlineLevel="0" collapsed="false">
      <c r="A132" s="11"/>
      <c r="B132" s="27"/>
      <c r="C132" s="11"/>
      <c r="D132" s="11"/>
      <c r="E132" s="11"/>
      <c r="F132" s="27"/>
      <c r="G132" s="27"/>
      <c r="H132" s="11"/>
      <c r="I132" s="11"/>
      <c r="J132" s="12"/>
      <c r="K132" s="12"/>
      <c r="L132" s="28" t="str">
        <f aca="false">IF(AND(ISNUMBER(J132),ISNUMBER(K132),N(J132)&gt;0),1-K132/J132,"")</f>
        <v/>
      </c>
      <c r="M132" s="29"/>
      <c r="N132" s="30"/>
      <c r="O132" s="30"/>
      <c r="P132" s="11"/>
      <c r="Q132" s="31"/>
      <c r="R132" s="11"/>
      <c r="S132" s="11"/>
      <c r="T132" s="11"/>
      <c r="U132" s="32" t="str">
        <f aca="false">IF((LEN(A132)+LEN(B132)+LEN(C132)+LEN(D132)+LEN(E132)+LEN(F132)+LEN(G132)+LEN(H132)+LEN(I132)+LEN(J132)+LEN(K132)+LEN(M132)+LEN(N132)+LEN(O132)+LEN(P132)+LEN(Q132)+LEN(R132)+LEN(S132)+LEN(T132))=0,"",IF(OR(A132="",B132="",C132="",D132="",E132="",J132="",K132="",N132=""),"⚠ Champ obligatoire manquant",IF(AND(ISNUMBER(K132),ISNUMBER(J132),N(K132)&gt;N(J132)),"⚠ Prix Autopiec &gt; prix public",IF(COUNTIFS($A$2:$A$1001,A132,$B$2:$B$1001,B132)&gt;1,"⚠ Référence en double","✔ OK"))))</f>
        <v/>
      </c>
    </row>
    <row r="133" customFormat="false" ht="15" hidden="false" customHeight="false" outlineLevel="0" collapsed="false">
      <c r="A133" s="11"/>
      <c r="B133" s="27"/>
      <c r="C133" s="11"/>
      <c r="D133" s="11"/>
      <c r="E133" s="11"/>
      <c r="F133" s="27"/>
      <c r="G133" s="27"/>
      <c r="H133" s="11"/>
      <c r="I133" s="11"/>
      <c r="J133" s="12"/>
      <c r="K133" s="12"/>
      <c r="L133" s="28" t="str">
        <f aca="false">IF(AND(ISNUMBER(J133),ISNUMBER(K133),N(J133)&gt;0),1-K133/J133,"")</f>
        <v/>
      </c>
      <c r="M133" s="29"/>
      <c r="N133" s="30"/>
      <c r="O133" s="30"/>
      <c r="P133" s="11"/>
      <c r="Q133" s="31"/>
      <c r="R133" s="11"/>
      <c r="S133" s="11"/>
      <c r="T133" s="11"/>
      <c r="U133" s="32" t="str">
        <f aca="false">IF((LEN(A133)+LEN(B133)+LEN(C133)+LEN(D133)+LEN(E133)+LEN(F133)+LEN(G133)+LEN(H133)+LEN(I133)+LEN(J133)+LEN(K133)+LEN(M133)+LEN(N133)+LEN(O133)+LEN(P133)+LEN(Q133)+LEN(R133)+LEN(S133)+LEN(T133))=0,"",IF(OR(A133="",B133="",C133="",D133="",E133="",J133="",K133="",N133=""),"⚠ Champ obligatoire manquant",IF(AND(ISNUMBER(K133),ISNUMBER(J133),N(K133)&gt;N(J133)),"⚠ Prix Autopiec &gt; prix public",IF(COUNTIFS($A$2:$A$1001,A133,$B$2:$B$1001,B133)&gt;1,"⚠ Référence en double","✔ OK"))))</f>
        <v/>
      </c>
    </row>
    <row r="134" customFormat="false" ht="15" hidden="false" customHeight="false" outlineLevel="0" collapsed="false">
      <c r="A134" s="11"/>
      <c r="B134" s="27"/>
      <c r="C134" s="11"/>
      <c r="D134" s="11"/>
      <c r="E134" s="11"/>
      <c r="F134" s="27"/>
      <c r="G134" s="27"/>
      <c r="H134" s="11"/>
      <c r="I134" s="11"/>
      <c r="J134" s="12"/>
      <c r="K134" s="12"/>
      <c r="L134" s="28" t="str">
        <f aca="false">IF(AND(ISNUMBER(J134),ISNUMBER(K134),N(J134)&gt;0),1-K134/J134,"")</f>
        <v/>
      </c>
      <c r="M134" s="29"/>
      <c r="N134" s="30"/>
      <c r="O134" s="30"/>
      <c r="P134" s="11"/>
      <c r="Q134" s="31"/>
      <c r="R134" s="11"/>
      <c r="S134" s="11"/>
      <c r="T134" s="11"/>
      <c r="U134" s="32" t="str">
        <f aca="false">IF((LEN(A134)+LEN(B134)+LEN(C134)+LEN(D134)+LEN(E134)+LEN(F134)+LEN(G134)+LEN(H134)+LEN(I134)+LEN(J134)+LEN(K134)+LEN(M134)+LEN(N134)+LEN(O134)+LEN(P134)+LEN(Q134)+LEN(R134)+LEN(S134)+LEN(T134))=0,"",IF(OR(A134="",B134="",C134="",D134="",E134="",J134="",K134="",N134=""),"⚠ Champ obligatoire manquant",IF(AND(ISNUMBER(K134),ISNUMBER(J134),N(K134)&gt;N(J134)),"⚠ Prix Autopiec &gt; prix public",IF(COUNTIFS($A$2:$A$1001,A134,$B$2:$B$1001,B134)&gt;1,"⚠ Référence en double","✔ OK"))))</f>
        <v/>
      </c>
    </row>
    <row r="135" customFormat="false" ht="15" hidden="false" customHeight="false" outlineLevel="0" collapsed="false">
      <c r="A135" s="11"/>
      <c r="B135" s="27"/>
      <c r="C135" s="11"/>
      <c r="D135" s="11"/>
      <c r="E135" s="11"/>
      <c r="F135" s="27"/>
      <c r="G135" s="27"/>
      <c r="H135" s="11"/>
      <c r="I135" s="11"/>
      <c r="J135" s="12"/>
      <c r="K135" s="12"/>
      <c r="L135" s="28" t="str">
        <f aca="false">IF(AND(ISNUMBER(J135),ISNUMBER(K135),N(J135)&gt;0),1-K135/J135,"")</f>
        <v/>
      </c>
      <c r="M135" s="29"/>
      <c r="N135" s="30"/>
      <c r="O135" s="30"/>
      <c r="P135" s="11"/>
      <c r="Q135" s="31"/>
      <c r="R135" s="11"/>
      <c r="S135" s="11"/>
      <c r="T135" s="11"/>
      <c r="U135" s="32" t="str">
        <f aca="false">IF((LEN(A135)+LEN(B135)+LEN(C135)+LEN(D135)+LEN(E135)+LEN(F135)+LEN(G135)+LEN(H135)+LEN(I135)+LEN(J135)+LEN(K135)+LEN(M135)+LEN(N135)+LEN(O135)+LEN(P135)+LEN(Q135)+LEN(R135)+LEN(S135)+LEN(T135))=0,"",IF(OR(A135="",B135="",C135="",D135="",E135="",J135="",K135="",N135=""),"⚠ Champ obligatoire manquant",IF(AND(ISNUMBER(K135),ISNUMBER(J135),N(K135)&gt;N(J135)),"⚠ Prix Autopiec &gt; prix public",IF(COUNTIFS($A$2:$A$1001,A135,$B$2:$B$1001,B135)&gt;1,"⚠ Référence en double","✔ OK"))))</f>
        <v/>
      </c>
    </row>
    <row r="136" customFormat="false" ht="15" hidden="false" customHeight="false" outlineLevel="0" collapsed="false">
      <c r="A136" s="11"/>
      <c r="B136" s="27"/>
      <c r="C136" s="11"/>
      <c r="D136" s="11"/>
      <c r="E136" s="11"/>
      <c r="F136" s="27"/>
      <c r="G136" s="27"/>
      <c r="H136" s="11"/>
      <c r="I136" s="11"/>
      <c r="J136" s="12"/>
      <c r="K136" s="12"/>
      <c r="L136" s="28" t="str">
        <f aca="false">IF(AND(ISNUMBER(J136),ISNUMBER(K136),N(J136)&gt;0),1-K136/J136,"")</f>
        <v/>
      </c>
      <c r="M136" s="29"/>
      <c r="N136" s="30"/>
      <c r="O136" s="30"/>
      <c r="P136" s="11"/>
      <c r="Q136" s="31"/>
      <c r="R136" s="11"/>
      <c r="S136" s="11"/>
      <c r="T136" s="11"/>
      <c r="U136" s="32" t="str">
        <f aca="false">IF((LEN(A136)+LEN(B136)+LEN(C136)+LEN(D136)+LEN(E136)+LEN(F136)+LEN(G136)+LEN(H136)+LEN(I136)+LEN(J136)+LEN(K136)+LEN(M136)+LEN(N136)+LEN(O136)+LEN(P136)+LEN(Q136)+LEN(R136)+LEN(S136)+LEN(T136))=0,"",IF(OR(A136="",B136="",C136="",D136="",E136="",J136="",K136="",N136=""),"⚠ Champ obligatoire manquant",IF(AND(ISNUMBER(K136),ISNUMBER(J136),N(K136)&gt;N(J136)),"⚠ Prix Autopiec &gt; prix public",IF(COUNTIFS($A$2:$A$1001,A136,$B$2:$B$1001,B136)&gt;1,"⚠ Référence en double","✔ OK"))))</f>
        <v/>
      </c>
    </row>
    <row r="137" customFormat="false" ht="15" hidden="false" customHeight="false" outlineLevel="0" collapsed="false">
      <c r="A137" s="11"/>
      <c r="B137" s="27"/>
      <c r="C137" s="11"/>
      <c r="D137" s="11"/>
      <c r="E137" s="11"/>
      <c r="F137" s="27"/>
      <c r="G137" s="27"/>
      <c r="H137" s="11"/>
      <c r="I137" s="11"/>
      <c r="J137" s="12"/>
      <c r="K137" s="12"/>
      <c r="L137" s="28" t="str">
        <f aca="false">IF(AND(ISNUMBER(J137),ISNUMBER(K137),N(J137)&gt;0),1-K137/J137,"")</f>
        <v/>
      </c>
      <c r="M137" s="29"/>
      <c r="N137" s="30"/>
      <c r="O137" s="30"/>
      <c r="P137" s="11"/>
      <c r="Q137" s="31"/>
      <c r="R137" s="11"/>
      <c r="S137" s="11"/>
      <c r="T137" s="11"/>
      <c r="U137" s="32" t="str">
        <f aca="false">IF((LEN(A137)+LEN(B137)+LEN(C137)+LEN(D137)+LEN(E137)+LEN(F137)+LEN(G137)+LEN(H137)+LEN(I137)+LEN(J137)+LEN(K137)+LEN(M137)+LEN(N137)+LEN(O137)+LEN(P137)+LEN(Q137)+LEN(R137)+LEN(S137)+LEN(T137))=0,"",IF(OR(A137="",B137="",C137="",D137="",E137="",J137="",K137="",N137=""),"⚠ Champ obligatoire manquant",IF(AND(ISNUMBER(K137),ISNUMBER(J137),N(K137)&gt;N(J137)),"⚠ Prix Autopiec &gt; prix public",IF(COUNTIFS($A$2:$A$1001,A137,$B$2:$B$1001,B137)&gt;1,"⚠ Référence en double","✔ OK"))))</f>
        <v/>
      </c>
    </row>
    <row r="138" customFormat="false" ht="15" hidden="false" customHeight="false" outlineLevel="0" collapsed="false">
      <c r="A138" s="11"/>
      <c r="B138" s="27"/>
      <c r="C138" s="11"/>
      <c r="D138" s="11"/>
      <c r="E138" s="11"/>
      <c r="F138" s="27"/>
      <c r="G138" s="27"/>
      <c r="H138" s="11"/>
      <c r="I138" s="11"/>
      <c r="J138" s="12"/>
      <c r="K138" s="12"/>
      <c r="L138" s="28" t="str">
        <f aca="false">IF(AND(ISNUMBER(J138),ISNUMBER(K138),N(J138)&gt;0),1-K138/J138,"")</f>
        <v/>
      </c>
      <c r="M138" s="29"/>
      <c r="N138" s="30"/>
      <c r="O138" s="30"/>
      <c r="P138" s="11"/>
      <c r="Q138" s="31"/>
      <c r="R138" s="11"/>
      <c r="S138" s="11"/>
      <c r="T138" s="11"/>
      <c r="U138" s="32" t="str">
        <f aca="false">IF((LEN(A138)+LEN(B138)+LEN(C138)+LEN(D138)+LEN(E138)+LEN(F138)+LEN(G138)+LEN(H138)+LEN(I138)+LEN(J138)+LEN(K138)+LEN(M138)+LEN(N138)+LEN(O138)+LEN(P138)+LEN(Q138)+LEN(R138)+LEN(S138)+LEN(T138))=0,"",IF(OR(A138="",B138="",C138="",D138="",E138="",J138="",K138="",N138=""),"⚠ Champ obligatoire manquant",IF(AND(ISNUMBER(K138),ISNUMBER(J138),N(K138)&gt;N(J138)),"⚠ Prix Autopiec &gt; prix public",IF(COUNTIFS($A$2:$A$1001,A138,$B$2:$B$1001,B138)&gt;1,"⚠ Référence en double","✔ OK"))))</f>
        <v/>
      </c>
    </row>
    <row r="139" customFormat="false" ht="15" hidden="false" customHeight="false" outlineLevel="0" collapsed="false">
      <c r="A139" s="11"/>
      <c r="B139" s="27"/>
      <c r="C139" s="11"/>
      <c r="D139" s="11"/>
      <c r="E139" s="11"/>
      <c r="F139" s="27"/>
      <c r="G139" s="27"/>
      <c r="H139" s="11"/>
      <c r="I139" s="11"/>
      <c r="J139" s="12"/>
      <c r="K139" s="12"/>
      <c r="L139" s="28" t="str">
        <f aca="false">IF(AND(ISNUMBER(J139),ISNUMBER(K139),N(J139)&gt;0),1-K139/J139,"")</f>
        <v/>
      </c>
      <c r="M139" s="29"/>
      <c r="N139" s="30"/>
      <c r="O139" s="30"/>
      <c r="P139" s="11"/>
      <c r="Q139" s="31"/>
      <c r="R139" s="11"/>
      <c r="S139" s="11"/>
      <c r="T139" s="11"/>
      <c r="U139" s="32" t="str">
        <f aca="false">IF((LEN(A139)+LEN(B139)+LEN(C139)+LEN(D139)+LEN(E139)+LEN(F139)+LEN(G139)+LEN(H139)+LEN(I139)+LEN(J139)+LEN(K139)+LEN(M139)+LEN(N139)+LEN(O139)+LEN(P139)+LEN(Q139)+LEN(R139)+LEN(S139)+LEN(T139))=0,"",IF(OR(A139="",B139="",C139="",D139="",E139="",J139="",K139="",N139=""),"⚠ Champ obligatoire manquant",IF(AND(ISNUMBER(K139),ISNUMBER(J139),N(K139)&gt;N(J139)),"⚠ Prix Autopiec &gt; prix public",IF(COUNTIFS($A$2:$A$1001,A139,$B$2:$B$1001,B139)&gt;1,"⚠ Référence en double","✔ OK"))))</f>
        <v/>
      </c>
    </row>
    <row r="140" customFormat="false" ht="15" hidden="false" customHeight="false" outlineLevel="0" collapsed="false">
      <c r="A140" s="11"/>
      <c r="B140" s="27"/>
      <c r="C140" s="11"/>
      <c r="D140" s="11"/>
      <c r="E140" s="11"/>
      <c r="F140" s="27"/>
      <c r="G140" s="27"/>
      <c r="H140" s="11"/>
      <c r="I140" s="11"/>
      <c r="J140" s="12"/>
      <c r="K140" s="12"/>
      <c r="L140" s="28" t="str">
        <f aca="false">IF(AND(ISNUMBER(J140),ISNUMBER(K140),N(J140)&gt;0),1-K140/J140,"")</f>
        <v/>
      </c>
      <c r="M140" s="29"/>
      <c r="N140" s="30"/>
      <c r="O140" s="30"/>
      <c r="P140" s="11"/>
      <c r="Q140" s="31"/>
      <c r="R140" s="11"/>
      <c r="S140" s="11"/>
      <c r="T140" s="11"/>
      <c r="U140" s="32" t="str">
        <f aca="false">IF((LEN(A140)+LEN(B140)+LEN(C140)+LEN(D140)+LEN(E140)+LEN(F140)+LEN(G140)+LEN(H140)+LEN(I140)+LEN(J140)+LEN(K140)+LEN(M140)+LEN(N140)+LEN(O140)+LEN(P140)+LEN(Q140)+LEN(R140)+LEN(S140)+LEN(T140))=0,"",IF(OR(A140="",B140="",C140="",D140="",E140="",J140="",K140="",N140=""),"⚠ Champ obligatoire manquant",IF(AND(ISNUMBER(K140),ISNUMBER(J140),N(K140)&gt;N(J140)),"⚠ Prix Autopiec &gt; prix public",IF(COUNTIFS($A$2:$A$1001,A140,$B$2:$B$1001,B140)&gt;1,"⚠ Référence en double","✔ OK"))))</f>
        <v/>
      </c>
    </row>
    <row r="141" customFormat="false" ht="15" hidden="false" customHeight="false" outlineLevel="0" collapsed="false">
      <c r="A141" s="11"/>
      <c r="B141" s="27"/>
      <c r="C141" s="11"/>
      <c r="D141" s="11"/>
      <c r="E141" s="11"/>
      <c r="F141" s="27"/>
      <c r="G141" s="27"/>
      <c r="H141" s="11"/>
      <c r="I141" s="11"/>
      <c r="J141" s="12"/>
      <c r="K141" s="12"/>
      <c r="L141" s="28" t="str">
        <f aca="false">IF(AND(ISNUMBER(J141),ISNUMBER(K141),N(J141)&gt;0),1-K141/J141,"")</f>
        <v/>
      </c>
      <c r="M141" s="29"/>
      <c r="N141" s="30"/>
      <c r="O141" s="30"/>
      <c r="P141" s="11"/>
      <c r="Q141" s="31"/>
      <c r="R141" s="11"/>
      <c r="S141" s="11"/>
      <c r="T141" s="11"/>
      <c r="U141" s="32" t="str">
        <f aca="false">IF((LEN(A141)+LEN(B141)+LEN(C141)+LEN(D141)+LEN(E141)+LEN(F141)+LEN(G141)+LEN(H141)+LEN(I141)+LEN(J141)+LEN(K141)+LEN(M141)+LEN(N141)+LEN(O141)+LEN(P141)+LEN(Q141)+LEN(R141)+LEN(S141)+LEN(T141))=0,"",IF(OR(A141="",B141="",C141="",D141="",E141="",J141="",K141="",N141=""),"⚠ Champ obligatoire manquant",IF(AND(ISNUMBER(K141),ISNUMBER(J141),N(K141)&gt;N(J141)),"⚠ Prix Autopiec &gt; prix public",IF(COUNTIFS($A$2:$A$1001,A141,$B$2:$B$1001,B141)&gt;1,"⚠ Référence en double","✔ OK"))))</f>
        <v/>
      </c>
    </row>
    <row r="142" customFormat="false" ht="15" hidden="false" customHeight="false" outlineLevel="0" collapsed="false">
      <c r="A142" s="11"/>
      <c r="B142" s="27"/>
      <c r="C142" s="11"/>
      <c r="D142" s="11"/>
      <c r="E142" s="11"/>
      <c r="F142" s="27"/>
      <c r="G142" s="27"/>
      <c r="H142" s="11"/>
      <c r="I142" s="11"/>
      <c r="J142" s="12"/>
      <c r="K142" s="12"/>
      <c r="L142" s="28" t="str">
        <f aca="false">IF(AND(ISNUMBER(J142),ISNUMBER(K142),N(J142)&gt;0),1-K142/J142,"")</f>
        <v/>
      </c>
      <c r="M142" s="29"/>
      <c r="N142" s="30"/>
      <c r="O142" s="30"/>
      <c r="P142" s="11"/>
      <c r="Q142" s="31"/>
      <c r="R142" s="11"/>
      <c r="S142" s="11"/>
      <c r="T142" s="11"/>
      <c r="U142" s="32" t="str">
        <f aca="false">IF((LEN(A142)+LEN(B142)+LEN(C142)+LEN(D142)+LEN(E142)+LEN(F142)+LEN(G142)+LEN(H142)+LEN(I142)+LEN(J142)+LEN(K142)+LEN(M142)+LEN(N142)+LEN(O142)+LEN(P142)+LEN(Q142)+LEN(R142)+LEN(S142)+LEN(T142))=0,"",IF(OR(A142="",B142="",C142="",D142="",E142="",J142="",K142="",N142=""),"⚠ Champ obligatoire manquant",IF(AND(ISNUMBER(K142),ISNUMBER(J142),N(K142)&gt;N(J142)),"⚠ Prix Autopiec &gt; prix public",IF(COUNTIFS($A$2:$A$1001,A142,$B$2:$B$1001,B142)&gt;1,"⚠ Référence en double","✔ OK"))))</f>
        <v/>
      </c>
    </row>
    <row r="143" customFormat="false" ht="15" hidden="false" customHeight="false" outlineLevel="0" collapsed="false">
      <c r="A143" s="11"/>
      <c r="B143" s="27"/>
      <c r="C143" s="11"/>
      <c r="D143" s="11"/>
      <c r="E143" s="11"/>
      <c r="F143" s="27"/>
      <c r="G143" s="27"/>
      <c r="H143" s="11"/>
      <c r="I143" s="11"/>
      <c r="J143" s="12"/>
      <c r="K143" s="12"/>
      <c r="L143" s="28" t="str">
        <f aca="false">IF(AND(ISNUMBER(J143),ISNUMBER(K143),N(J143)&gt;0),1-K143/J143,"")</f>
        <v/>
      </c>
      <c r="M143" s="29"/>
      <c r="N143" s="30"/>
      <c r="O143" s="30"/>
      <c r="P143" s="11"/>
      <c r="Q143" s="31"/>
      <c r="R143" s="11"/>
      <c r="S143" s="11"/>
      <c r="T143" s="11"/>
      <c r="U143" s="32" t="str">
        <f aca="false">IF((LEN(A143)+LEN(B143)+LEN(C143)+LEN(D143)+LEN(E143)+LEN(F143)+LEN(G143)+LEN(H143)+LEN(I143)+LEN(J143)+LEN(K143)+LEN(M143)+LEN(N143)+LEN(O143)+LEN(P143)+LEN(Q143)+LEN(R143)+LEN(S143)+LEN(T143))=0,"",IF(OR(A143="",B143="",C143="",D143="",E143="",J143="",K143="",N143=""),"⚠ Champ obligatoire manquant",IF(AND(ISNUMBER(K143),ISNUMBER(J143),N(K143)&gt;N(J143)),"⚠ Prix Autopiec &gt; prix public",IF(COUNTIFS($A$2:$A$1001,A143,$B$2:$B$1001,B143)&gt;1,"⚠ Référence en double","✔ OK"))))</f>
        <v/>
      </c>
    </row>
    <row r="144" customFormat="false" ht="15" hidden="false" customHeight="false" outlineLevel="0" collapsed="false">
      <c r="A144" s="11"/>
      <c r="B144" s="27"/>
      <c r="C144" s="11"/>
      <c r="D144" s="11"/>
      <c r="E144" s="11"/>
      <c r="F144" s="27"/>
      <c r="G144" s="27"/>
      <c r="H144" s="11"/>
      <c r="I144" s="11"/>
      <c r="J144" s="12"/>
      <c r="K144" s="12"/>
      <c r="L144" s="28" t="str">
        <f aca="false">IF(AND(ISNUMBER(J144),ISNUMBER(K144),N(J144)&gt;0),1-K144/J144,"")</f>
        <v/>
      </c>
      <c r="M144" s="29"/>
      <c r="N144" s="30"/>
      <c r="O144" s="30"/>
      <c r="P144" s="11"/>
      <c r="Q144" s="31"/>
      <c r="R144" s="11"/>
      <c r="S144" s="11"/>
      <c r="T144" s="11"/>
      <c r="U144" s="32" t="str">
        <f aca="false">IF((LEN(A144)+LEN(B144)+LEN(C144)+LEN(D144)+LEN(E144)+LEN(F144)+LEN(G144)+LEN(H144)+LEN(I144)+LEN(J144)+LEN(K144)+LEN(M144)+LEN(N144)+LEN(O144)+LEN(P144)+LEN(Q144)+LEN(R144)+LEN(S144)+LEN(T144))=0,"",IF(OR(A144="",B144="",C144="",D144="",E144="",J144="",K144="",N144=""),"⚠ Champ obligatoire manquant",IF(AND(ISNUMBER(K144),ISNUMBER(J144),N(K144)&gt;N(J144)),"⚠ Prix Autopiec &gt; prix public",IF(COUNTIFS($A$2:$A$1001,A144,$B$2:$B$1001,B144)&gt;1,"⚠ Référence en double","✔ OK"))))</f>
        <v/>
      </c>
    </row>
    <row r="145" customFormat="false" ht="15" hidden="false" customHeight="false" outlineLevel="0" collapsed="false">
      <c r="A145" s="11"/>
      <c r="B145" s="27"/>
      <c r="C145" s="11"/>
      <c r="D145" s="11"/>
      <c r="E145" s="11"/>
      <c r="F145" s="27"/>
      <c r="G145" s="27"/>
      <c r="H145" s="11"/>
      <c r="I145" s="11"/>
      <c r="J145" s="12"/>
      <c r="K145" s="12"/>
      <c r="L145" s="28" t="str">
        <f aca="false">IF(AND(ISNUMBER(J145),ISNUMBER(K145),N(J145)&gt;0),1-K145/J145,"")</f>
        <v/>
      </c>
      <c r="M145" s="29"/>
      <c r="N145" s="30"/>
      <c r="O145" s="30"/>
      <c r="P145" s="11"/>
      <c r="Q145" s="31"/>
      <c r="R145" s="11"/>
      <c r="S145" s="11"/>
      <c r="T145" s="11"/>
      <c r="U145" s="32" t="str">
        <f aca="false">IF((LEN(A145)+LEN(B145)+LEN(C145)+LEN(D145)+LEN(E145)+LEN(F145)+LEN(G145)+LEN(H145)+LEN(I145)+LEN(J145)+LEN(K145)+LEN(M145)+LEN(N145)+LEN(O145)+LEN(P145)+LEN(Q145)+LEN(R145)+LEN(S145)+LEN(T145))=0,"",IF(OR(A145="",B145="",C145="",D145="",E145="",J145="",K145="",N145=""),"⚠ Champ obligatoire manquant",IF(AND(ISNUMBER(K145),ISNUMBER(J145),N(K145)&gt;N(J145)),"⚠ Prix Autopiec &gt; prix public",IF(COUNTIFS($A$2:$A$1001,A145,$B$2:$B$1001,B145)&gt;1,"⚠ Référence en double","✔ OK"))))</f>
        <v/>
      </c>
    </row>
    <row r="146" customFormat="false" ht="15" hidden="false" customHeight="false" outlineLevel="0" collapsed="false">
      <c r="A146" s="11"/>
      <c r="B146" s="27"/>
      <c r="C146" s="11"/>
      <c r="D146" s="11"/>
      <c r="E146" s="11"/>
      <c r="F146" s="27"/>
      <c r="G146" s="27"/>
      <c r="H146" s="11"/>
      <c r="I146" s="11"/>
      <c r="J146" s="12"/>
      <c r="K146" s="12"/>
      <c r="L146" s="28" t="str">
        <f aca="false">IF(AND(ISNUMBER(J146),ISNUMBER(K146),N(J146)&gt;0),1-K146/J146,"")</f>
        <v/>
      </c>
      <c r="M146" s="29"/>
      <c r="N146" s="30"/>
      <c r="O146" s="30"/>
      <c r="P146" s="11"/>
      <c r="Q146" s="31"/>
      <c r="R146" s="11"/>
      <c r="S146" s="11"/>
      <c r="T146" s="11"/>
      <c r="U146" s="32" t="str">
        <f aca="false">IF((LEN(A146)+LEN(B146)+LEN(C146)+LEN(D146)+LEN(E146)+LEN(F146)+LEN(G146)+LEN(H146)+LEN(I146)+LEN(J146)+LEN(K146)+LEN(M146)+LEN(N146)+LEN(O146)+LEN(P146)+LEN(Q146)+LEN(R146)+LEN(S146)+LEN(T146))=0,"",IF(OR(A146="",B146="",C146="",D146="",E146="",J146="",K146="",N146=""),"⚠ Champ obligatoire manquant",IF(AND(ISNUMBER(K146),ISNUMBER(J146),N(K146)&gt;N(J146)),"⚠ Prix Autopiec &gt; prix public",IF(COUNTIFS($A$2:$A$1001,A146,$B$2:$B$1001,B146)&gt;1,"⚠ Référence en double","✔ OK"))))</f>
        <v/>
      </c>
    </row>
    <row r="147" customFormat="false" ht="15" hidden="false" customHeight="false" outlineLevel="0" collapsed="false">
      <c r="A147" s="11"/>
      <c r="B147" s="27"/>
      <c r="C147" s="11"/>
      <c r="D147" s="11"/>
      <c r="E147" s="11"/>
      <c r="F147" s="27"/>
      <c r="G147" s="27"/>
      <c r="H147" s="11"/>
      <c r="I147" s="11"/>
      <c r="J147" s="12"/>
      <c r="K147" s="12"/>
      <c r="L147" s="28" t="str">
        <f aca="false">IF(AND(ISNUMBER(J147),ISNUMBER(K147),N(J147)&gt;0),1-K147/J147,"")</f>
        <v/>
      </c>
      <c r="M147" s="29"/>
      <c r="N147" s="30"/>
      <c r="O147" s="30"/>
      <c r="P147" s="11"/>
      <c r="Q147" s="31"/>
      <c r="R147" s="11"/>
      <c r="S147" s="11"/>
      <c r="T147" s="11"/>
      <c r="U147" s="32" t="str">
        <f aca="false">IF((LEN(A147)+LEN(B147)+LEN(C147)+LEN(D147)+LEN(E147)+LEN(F147)+LEN(G147)+LEN(H147)+LEN(I147)+LEN(J147)+LEN(K147)+LEN(M147)+LEN(N147)+LEN(O147)+LEN(P147)+LEN(Q147)+LEN(R147)+LEN(S147)+LEN(T147))=0,"",IF(OR(A147="",B147="",C147="",D147="",E147="",J147="",K147="",N147=""),"⚠ Champ obligatoire manquant",IF(AND(ISNUMBER(K147),ISNUMBER(J147),N(K147)&gt;N(J147)),"⚠ Prix Autopiec &gt; prix public",IF(COUNTIFS($A$2:$A$1001,A147,$B$2:$B$1001,B147)&gt;1,"⚠ Référence en double","✔ OK"))))</f>
        <v/>
      </c>
    </row>
    <row r="148" customFormat="false" ht="15" hidden="false" customHeight="false" outlineLevel="0" collapsed="false">
      <c r="A148" s="11"/>
      <c r="B148" s="27"/>
      <c r="C148" s="11"/>
      <c r="D148" s="11"/>
      <c r="E148" s="11"/>
      <c r="F148" s="27"/>
      <c r="G148" s="27"/>
      <c r="H148" s="11"/>
      <c r="I148" s="11"/>
      <c r="J148" s="12"/>
      <c r="K148" s="12"/>
      <c r="L148" s="28" t="str">
        <f aca="false">IF(AND(ISNUMBER(J148),ISNUMBER(K148),N(J148)&gt;0),1-K148/J148,"")</f>
        <v/>
      </c>
      <c r="M148" s="29"/>
      <c r="N148" s="30"/>
      <c r="O148" s="30"/>
      <c r="P148" s="11"/>
      <c r="Q148" s="31"/>
      <c r="R148" s="11"/>
      <c r="S148" s="11"/>
      <c r="T148" s="11"/>
      <c r="U148" s="32" t="str">
        <f aca="false">IF((LEN(A148)+LEN(B148)+LEN(C148)+LEN(D148)+LEN(E148)+LEN(F148)+LEN(G148)+LEN(H148)+LEN(I148)+LEN(J148)+LEN(K148)+LEN(M148)+LEN(N148)+LEN(O148)+LEN(P148)+LEN(Q148)+LEN(R148)+LEN(S148)+LEN(T148))=0,"",IF(OR(A148="",B148="",C148="",D148="",E148="",J148="",K148="",N148=""),"⚠ Champ obligatoire manquant",IF(AND(ISNUMBER(K148),ISNUMBER(J148),N(K148)&gt;N(J148)),"⚠ Prix Autopiec &gt; prix public",IF(COUNTIFS($A$2:$A$1001,A148,$B$2:$B$1001,B148)&gt;1,"⚠ Référence en double","✔ OK"))))</f>
        <v/>
      </c>
    </row>
    <row r="149" customFormat="false" ht="15" hidden="false" customHeight="false" outlineLevel="0" collapsed="false">
      <c r="A149" s="11"/>
      <c r="B149" s="27"/>
      <c r="C149" s="11"/>
      <c r="D149" s="11"/>
      <c r="E149" s="11"/>
      <c r="F149" s="27"/>
      <c r="G149" s="27"/>
      <c r="H149" s="11"/>
      <c r="I149" s="11"/>
      <c r="J149" s="12"/>
      <c r="K149" s="12"/>
      <c r="L149" s="28" t="str">
        <f aca="false">IF(AND(ISNUMBER(J149),ISNUMBER(K149),N(J149)&gt;0),1-K149/J149,"")</f>
        <v/>
      </c>
      <c r="M149" s="29"/>
      <c r="N149" s="30"/>
      <c r="O149" s="30"/>
      <c r="P149" s="11"/>
      <c r="Q149" s="31"/>
      <c r="R149" s="11"/>
      <c r="S149" s="11"/>
      <c r="T149" s="11"/>
      <c r="U149" s="32" t="str">
        <f aca="false">IF((LEN(A149)+LEN(B149)+LEN(C149)+LEN(D149)+LEN(E149)+LEN(F149)+LEN(G149)+LEN(H149)+LEN(I149)+LEN(J149)+LEN(K149)+LEN(M149)+LEN(N149)+LEN(O149)+LEN(P149)+LEN(Q149)+LEN(R149)+LEN(S149)+LEN(T149))=0,"",IF(OR(A149="",B149="",C149="",D149="",E149="",J149="",K149="",N149=""),"⚠ Champ obligatoire manquant",IF(AND(ISNUMBER(K149),ISNUMBER(J149),N(K149)&gt;N(J149)),"⚠ Prix Autopiec &gt; prix public",IF(COUNTIFS($A$2:$A$1001,A149,$B$2:$B$1001,B149)&gt;1,"⚠ Référence en double","✔ OK"))))</f>
        <v/>
      </c>
    </row>
    <row r="150" customFormat="false" ht="15" hidden="false" customHeight="false" outlineLevel="0" collapsed="false">
      <c r="A150" s="11"/>
      <c r="B150" s="27"/>
      <c r="C150" s="11"/>
      <c r="D150" s="11"/>
      <c r="E150" s="11"/>
      <c r="F150" s="27"/>
      <c r="G150" s="27"/>
      <c r="H150" s="11"/>
      <c r="I150" s="11"/>
      <c r="J150" s="12"/>
      <c r="K150" s="12"/>
      <c r="L150" s="28" t="str">
        <f aca="false">IF(AND(ISNUMBER(J150),ISNUMBER(K150),N(J150)&gt;0),1-K150/J150,"")</f>
        <v/>
      </c>
      <c r="M150" s="29"/>
      <c r="N150" s="30"/>
      <c r="O150" s="30"/>
      <c r="P150" s="11"/>
      <c r="Q150" s="31"/>
      <c r="R150" s="11"/>
      <c r="S150" s="11"/>
      <c r="T150" s="11"/>
      <c r="U150" s="32" t="str">
        <f aca="false">IF((LEN(A150)+LEN(B150)+LEN(C150)+LEN(D150)+LEN(E150)+LEN(F150)+LEN(G150)+LEN(H150)+LEN(I150)+LEN(J150)+LEN(K150)+LEN(M150)+LEN(N150)+LEN(O150)+LEN(P150)+LEN(Q150)+LEN(R150)+LEN(S150)+LEN(T150))=0,"",IF(OR(A150="",B150="",C150="",D150="",E150="",J150="",K150="",N150=""),"⚠ Champ obligatoire manquant",IF(AND(ISNUMBER(K150),ISNUMBER(J150),N(K150)&gt;N(J150)),"⚠ Prix Autopiec &gt; prix public",IF(COUNTIFS($A$2:$A$1001,A150,$B$2:$B$1001,B150)&gt;1,"⚠ Référence en double","✔ OK"))))</f>
        <v/>
      </c>
    </row>
    <row r="151" customFormat="false" ht="15" hidden="false" customHeight="false" outlineLevel="0" collapsed="false">
      <c r="A151" s="11"/>
      <c r="B151" s="27"/>
      <c r="C151" s="11"/>
      <c r="D151" s="11"/>
      <c r="E151" s="11"/>
      <c r="F151" s="27"/>
      <c r="G151" s="27"/>
      <c r="H151" s="11"/>
      <c r="I151" s="11"/>
      <c r="J151" s="12"/>
      <c r="K151" s="12"/>
      <c r="L151" s="28" t="str">
        <f aca="false">IF(AND(ISNUMBER(J151),ISNUMBER(K151),N(J151)&gt;0),1-K151/J151,"")</f>
        <v/>
      </c>
      <c r="M151" s="29"/>
      <c r="N151" s="30"/>
      <c r="O151" s="30"/>
      <c r="P151" s="11"/>
      <c r="Q151" s="31"/>
      <c r="R151" s="11"/>
      <c r="S151" s="11"/>
      <c r="T151" s="11"/>
      <c r="U151" s="32" t="str">
        <f aca="false">IF((LEN(A151)+LEN(B151)+LEN(C151)+LEN(D151)+LEN(E151)+LEN(F151)+LEN(G151)+LEN(H151)+LEN(I151)+LEN(J151)+LEN(K151)+LEN(M151)+LEN(N151)+LEN(O151)+LEN(P151)+LEN(Q151)+LEN(R151)+LEN(S151)+LEN(T151))=0,"",IF(OR(A151="",B151="",C151="",D151="",E151="",J151="",K151="",N151=""),"⚠ Champ obligatoire manquant",IF(AND(ISNUMBER(K151),ISNUMBER(J151),N(K151)&gt;N(J151)),"⚠ Prix Autopiec &gt; prix public",IF(COUNTIFS($A$2:$A$1001,A151,$B$2:$B$1001,B151)&gt;1,"⚠ Référence en double","✔ OK"))))</f>
        <v/>
      </c>
    </row>
    <row r="152" customFormat="false" ht="15" hidden="false" customHeight="false" outlineLevel="0" collapsed="false">
      <c r="A152" s="11"/>
      <c r="B152" s="27"/>
      <c r="C152" s="11"/>
      <c r="D152" s="11"/>
      <c r="E152" s="11"/>
      <c r="F152" s="27"/>
      <c r="G152" s="27"/>
      <c r="H152" s="11"/>
      <c r="I152" s="11"/>
      <c r="J152" s="12"/>
      <c r="K152" s="12"/>
      <c r="L152" s="28" t="str">
        <f aca="false">IF(AND(ISNUMBER(J152),ISNUMBER(K152),N(J152)&gt;0),1-K152/J152,"")</f>
        <v/>
      </c>
      <c r="M152" s="29"/>
      <c r="N152" s="30"/>
      <c r="O152" s="30"/>
      <c r="P152" s="11"/>
      <c r="Q152" s="31"/>
      <c r="R152" s="11"/>
      <c r="S152" s="11"/>
      <c r="T152" s="11"/>
      <c r="U152" s="32" t="str">
        <f aca="false">IF((LEN(A152)+LEN(B152)+LEN(C152)+LEN(D152)+LEN(E152)+LEN(F152)+LEN(G152)+LEN(H152)+LEN(I152)+LEN(J152)+LEN(K152)+LEN(M152)+LEN(N152)+LEN(O152)+LEN(P152)+LEN(Q152)+LEN(R152)+LEN(S152)+LEN(T152))=0,"",IF(OR(A152="",B152="",C152="",D152="",E152="",J152="",K152="",N152=""),"⚠ Champ obligatoire manquant",IF(AND(ISNUMBER(K152),ISNUMBER(J152),N(K152)&gt;N(J152)),"⚠ Prix Autopiec &gt; prix public",IF(COUNTIFS($A$2:$A$1001,A152,$B$2:$B$1001,B152)&gt;1,"⚠ Référence en double","✔ OK"))))</f>
        <v/>
      </c>
    </row>
    <row r="153" customFormat="false" ht="15" hidden="false" customHeight="false" outlineLevel="0" collapsed="false">
      <c r="A153" s="11"/>
      <c r="B153" s="27"/>
      <c r="C153" s="11"/>
      <c r="D153" s="11"/>
      <c r="E153" s="11"/>
      <c r="F153" s="27"/>
      <c r="G153" s="27"/>
      <c r="H153" s="11"/>
      <c r="I153" s="11"/>
      <c r="J153" s="12"/>
      <c r="K153" s="12"/>
      <c r="L153" s="28" t="str">
        <f aca="false">IF(AND(ISNUMBER(J153),ISNUMBER(K153),N(J153)&gt;0),1-K153/J153,"")</f>
        <v/>
      </c>
      <c r="M153" s="29"/>
      <c r="N153" s="30"/>
      <c r="O153" s="30"/>
      <c r="P153" s="11"/>
      <c r="Q153" s="31"/>
      <c r="R153" s="11"/>
      <c r="S153" s="11"/>
      <c r="T153" s="11"/>
      <c r="U153" s="32" t="str">
        <f aca="false">IF((LEN(A153)+LEN(B153)+LEN(C153)+LEN(D153)+LEN(E153)+LEN(F153)+LEN(G153)+LEN(H153)+LEN(I153)+LEN(J153)+LEN(K153)+LEN(M153)+LEN(N153)+LEN(O153)+LEN(P153)+LEN(Q153)+LEN(R153)+LEN(S153)+LEN(T153))=0,"",IF(OR(A153="",B153="",C153="",D153="",E153="",J153="",K153="",N153=""),"⚠ Champ obligatoire manquant",IF(AND(ISNUMBER(K153),ISNUMBER(J153),N(K153)&gt;N(J153)),"⚠ Prix Autopiec &gt; prix public",IF(COUNTIFS($A$2:$A$1001,A153,$B$2:$B$1001,B153)&gt;1,"⚠ Référence en double","✔ OK"))))</f>
        <v/>
      </c>
    </row>
    <row r="154" customFormat="false" ht="15" hidden="false" customHeight="false" outlineLevel="0" collapsed="false">
      <c r="A154" s="11"/>
      <c r="B154" s="27"/>
      <c r="C154" s="11"/>
      <c r="D154" s="11"/>
      <c r="E154" s="11"/>
      <c r="F154" s="27"/>
      <c r="G154" s="27"/>
      <c r="H154" s="11"/>
      <c r="I154" s="11"/>
      <c r="J154" s="12"/>
      <c r="K154" s="12"/>
      <c r="L154" s="28" t="str">
        <f aca="false">IF(AND(ISNUMBER(J154),ISNUMBER(K154),N(J154)&gt;0),1-K154/J154,"")</f>
        <v/>
      </c>
      <c r="M154" s="29"/>
      <c r="N154" s="30"/>
      <c r="O154" s="30"/>
      <c r="P154" s="11"/>
      <c r="Q154" s="31"/>
      <c r="R154" s="11"/>
      <c r="S154" s="11"/>
      <c r="T154" s="11"/>
      <c r="U154" s="32" t="str">
        <f aca="false">IF((LEN(A154)+LEN(B154)+LEN(C154)+LEN(D154)+LEN(E154)+LEN(F154)+LEN(G154)+LEN(H154)+LEN(I154)+LEN(J154)+LEN(K154)+LEN(M154)+LEN(N154)+LEN(O154)+LEN(P154)+LEN(Q154)+LEN(R154)+LEN(S154)+LEN(T154))=0,"",IF(OR(A154="",B154="",C154="",D154="",E154="",J154="",K154="",N154=""),"⚠ Champ obligatoire manquant",IF(AND(ISNUMBER(K154),ISNUMBER(J154),N(K154)&gt;N(J154)),"⚠ Prix Autopiec &gt; prix public",IF(COUNTIFS($A$2:$A$1001,A154,$B$2:$B$1001,B154)&gt;1,"⚠ Référence en double","✔ OK"))))</f>
        <v/>
      </c>
    </row>
    <row r="155" customFormat="false" ht="15" hidden="false" customHeight="false" outlineLevel="0" collapsed="false">
      <c r="A155" s="11"/>
      <c r="B155" s="27"/>
      <c r="C155" s="11"/>
      <c r="D155" s="11"/>
      <c r="E155" s="11"/>
      <c r="F155" s="27"/>
      <c r="G155" s="27"/>
      <c r="H155" s="11"/>
      <c r="I155" s="11"/>
      <c r="J155" s="12"/>
      <c r="K155" s="12"/>
      <c r="L155" s="28" t="str">
        <f aca="false">IF(AND(ISNUMBER(J155),ISNUMBER(K155),N(J155)&gt;0),1-K155/J155,"")</f>
        <v/>
      </c>
      <c r="M155" s="29"/>
      <c r="N155" s="30"/>
      <c r="O155" s="30"/>
      <c r="P155" s="11"/>
      <c r="Q155" s="31"/>
      <c r="R155" s="11"/>
      <c r="S155" s="11"/>
      <c r="T155" s="11"/>
      <c r="U155" s="32" t="str">
        <f aca="false">IF((LEN(A155)+LEN(B155)+LEN(C155)+LEN(D155)+LEN(E155)+LEN(F155)+LEN(G155)+LEN(H155)+LEN(I155)+LEN(J155)+LEN(K155)+LEN(M155)+LEN(N155)+LEN(O155)+LEN(P155)+LEN(Q155)+LEN(R155)+LEN(S155)+LEN(T155))=0,"",IF(OR(A155="",B155="",C155="",D155="",E155="",J155="",K155="",N155=""),"⚠ Champ obligatoire manquant",IF(AND(ISNUMBER(K155),ISNUMBER(J155),N(K155)&gt;N(J155)),"⚠ Prix Autopiec &gt; prix public",IF(COUNTIFS($A$2:$A$1001,A155,$B$2:$B$1001,B155)&gt;1,"⚠ Référence en double","✔ OK"))))</f>
        <v/>
      </c>
    </row>
    <row r="156" customFormat="false" ht="15" hidden="false" customHeight="false" outlineLevel="0" collapsed="false">
      <c r="A156" s="11"/>
      <c r="B156" s="27"/>
      <c r="C156" s="11"/>
      <c r="D156" s="11"/>
      <c r="E156" s="11"/>
      <c r="F156" s="27"/>
      <c r="G156" s="27"/>
      <c r="H156" s="11"/>
      <c r="I156" s="11"/>
      <c r="J156" s="12"/>
      <c r="K156" s="12"/>
      <c r="L156" s="28" t="str">
        <f aca="false">IF(AND(ISNUMBER(J156),ISNUMBER(K156),N(J156)&gt;0),1-K156/J156,"")</f>
        <v/>
      </c>
      <c r="M156" s="29"/>
      <c r="N156" s="30"/>
      <c r="O156" s="30"/>
      <c r="P156" s="11"/>
      <c r="Q156" s="31"/>
      <c r="R156" s="11"/>
      <c r="S156" s="11"/>
      <c r="T156" s="11"/>
      <c r="U156" s="32" t="str">
        <f aca="false">IF((LEN(A156)+LEN(B156)+LEN(C156)+LEN(D156)+LEN(E156)+LEN(F156)+LEN(G156)+LEN(H156)+LEN(I156)+LEN(J156)+LEN(K156)+LEN(M156)+LEN(N156)+LEN(O156)+LEN(P156)+LEN(Q156)+LEN(R156)+LEN(S156)+LEN(T156))=0,"",IF(OR(A156="",B156="",C156="",D156="",E156="",J156="",K156="",N156=""),"⚠ Champ obligatoire manquant",IF(AND(ISNUMBER(K156),ISNUMBER(J156),N(K156)&gt;N(J156)),"⚠ Prix Autopiec &gt; prix public",IF(COUNTIFS($A$2:$A$1001,A156,$B$2:$B$1001,B156)&gt;1,"⚠ Référence en double","✔ OK"))))</f>
        <v/>
      </c>
    </row>
    <row r="157" customFormat="false" ht="15" hidden="false" customHeight="false" outlineLevel="0" collapsed="false">
      <c r="A157" s="11"/>
      <c r="B157" s="27"/>
      <c r="C157" s="11"/>
      <c r="D157" s="11"/>
      <c r="E157" s="11"/>
      <c r="F157" s="27"/>
      <c r="G157" s="27"/>
      <c r="H157" s="11"/>
      <c r="I157" s="11"/>
      <c r="J157" s="12"/>
      <c r="K157" s="12"/>
      <c r="L157" s="28" t="str">
        <f aca="false">IF(AND(ISNUMBER(J157),ISNUMBER(K157),N(J157)&gt;0),1-K157/J157,"")</f>
        <v/>
      </c>
      <c r="M157" s="29"/>
      <c r="N157" s="30"/>
      <c r="O157" s="30"/>
      <c r="P157" s="11"/>
      <c r="Q157" s="31"/>
      <c r="R157" s="11"/>
      <c r="S157" s="11"/>
      <c r="T157" s="11"/>
      <c r="U157" s="32" t="str">
        <f aca="false">IF((LEN(A157)+LEN(B157)+LEN(C157)+LEN(D157)+LEN(E157)+LEN(F157)+LEN(G157)+LEN(H157)+LEN(I157)+LEN(J157)+LEN(K157)+LEN(M157)+LEN(N157)+LEN(O157)+LEN(P157)+LEN(Q157)+LEN(R157)+LEN(S157)+LEN(T157))=0,"",IF(OR(A157="",B157="",C157="",D157="",E157="",J157="",K157="",N157=""),"⚠ Champ obligatoire manquant",IF(AND(ISNUMBER(K157),ISNUMBER(J157),N(K157)&gt;N(J157)),"⚠ Prix Autopiec &gt; prix public",IF(COUNTIFS($A$2:$A$1001,A157,$B$2:$B$1001,B157)&gt;1,"⚠ Référence en double","✔ OK"))))</f>
        <v/>
      </c>
    </row>
    <row r="158" customFormat="false" ht="15" hidden="false" customHeight="false" outlineLevel="0" collapsed="false">
      <c r="A158" s="11"/>
      <c r="B158" s="27"/>
      <c r="C158" s="11"/>
      <c r="D158" s="11"/>
      <c r="E158" s="11"/>
      <c r="F158" s="27"/>
      <c r="G158" s="27"/>
      <c r="H158" s="11"/>
      <c r="I158" s="11"/>
      <c r="J158" s="12"/>
      <c r="K158" s="12"/>
      <c r="L158" s="28" t="str">
        <f aca="false">IF(AND(ISNUMBER(J158),ISNUMBER(K158),N(J158)&gt;0),1-K158/J158,"")</f>
        <v/>
      </c>
      <c r="M158" s="29"/>
      <c r="N158" s="30"/>
      <c r="O158" s="30"/>
      <c r="P158" s="11"/>
      <c r="Q158" s="31"/>
      <c r="R158" s="11"/>
      <c r="S158" s="11"/>
      <c r="T158" s="11"/>
      <c r="U158" s="32" t="str">
        <f aca="false">IF((LEN(A158)+LEN(B158)+LEN(C158)+LEN(D158)+LEN(E158)+LEN(F158)+LEN(G158)+LEN(H158)+LEN(I158)+LEN(J158)+LEN(K158)+LEN(M158)+LEN(N158)+LEN(O158)+LEN(P158)+LEN(Q158)+LEN(R158)+LEN(S158)+LEN(T158))=0,"",IF(OR(A158="",B158="",C158="",D158="",E158="",J158="",K158="",N158=""),"⚠ Champ obligatoire manquant",IF(AND(ISNUMBER(K158),ISNUMBER(J158),N(K158)&gt;N(J158)),"⚠ Prix Autopiec &gt; prix public",IF(COUNTIFS($A$2:$A$1001,A158,$B$2:$B$1001,B158)&gt;1,"⚠ Référence en double","✔ OK"))))</f>
        <v/>
      </c>
    </row>
    <row r="159" customFormat="false" ht="15" hidden="false" customHeight="false" outlineLevel="0" collapsed="false">
      <c r="A159" s="11"/>
      <c r="B159" s="27"/>
      <c r="C159" s="11"/>
      <c r="D159" s="11"/>
      <c r="E159" s="11"/>
      <c r="F159" s="27"/>
      <c r="G159" s="27"/>
      <c r="H159" s="11"/>
      <c r="I159" s="11"/>
      <c r="J159" s="12"/>
      <c r="K159" s="12"/>
      <c r="L159" s="28" t="str">
        <f aca="false">IF(AND(ISNUMBER(J159),ISNUMBER(K159),N(J159)&gt;0),1-K159/J159,"")</f>
        <v/>
      </c>
      <c r="M159" s="29"/>
      <c r="N159" s="30"/>
      <c r="O159" s="30"/>
      <c r="P159" s="11"/>
      <c r="Q159" s="31"/>
      <c r="R159" s="11"/>
      <c r="S159" s="11"/>
      <c r="T159" s="11"/>
      <c r="U159" s="32" t="str">
        <f aca="false">IF((LEN(A159)+LEN(B159)+LEN(C159)+LEN(D159)+LEN(E159)+LEN(F159)+LEN(G159)+LEN(H159)+LEN(I159)+LEN(J159)+LEN(K159)+LEN(M159)+LEN(N159)+LEN(O159)+LEN(P159)+LEN(Q159)+LEN(R159)+LEN(S159)+LEN(T159))=0,"",IF(OR(A159="",B159="",C159="",D159="",E159="",J159="",K159="",N159=""),"⚠ Champ obligatoire manquant",IF(AND(ISNUMBER(K159),ISNUMBER(J159),N(K159)&gt;N(J159)),"⚠ Prix Autopiec &gt; prix public",IF(COUNTIFS($A$2:$A$1001,A159,$B$2:$B$1001,B159)&gt;1,"⚠ Référence en double","✔ OK"))))</f>
        <v/>
      </c>
    </row>
    <row r="160" customFormat="false" ht="15" hidden="false" customHeight="false" outlineLevel="0" collapsed="false">
      <c r="A160" s="11"/>
      <c r="B160" s="27"/>
      <c r="C160" s="11"/>
      <c r="D160" s="11"/>
      <c r="E160" s="11"/>
      <c r="F160" s="27"/>
      <c r="G160" s="27"/>
      <c r="H160" s="11"/>
      <c r="I160" s="11"/>
      <c r="J160" s="12"/>
      <c r="K160" s="12"/>
      <c r="L160" s="28" t="str">
        <f aca="false">IF(AND(ISNUMBER(J160),ISNUMBER(K160),N(J160)&gt;0),1-K160/J160,"")</f>
        <v/>
      </c>
      <c r="M160" s="29"/>
      <c r="N160" s="30"/>
      <c r="O160" s="30"/>
      <c r="P160" s="11"/>
      <c r="Q160" s="31"/>
      <c r="R160" s="11"/>
      <c r="S160" s="11"/>
      <c r="T160" s="11"/>
      <c r="U160" s="32" t="str">
        <f aca="false">IF((LEN(A160)+LEN(B160)+LEN(C160)+LEN(D160)+LEN(E160)+LEN(F160)+LEN(G160)+LEN(H160)+LEN(I160)+LEN(J160)+LEN(K160)+LEN(M160)+LEN(N160)+LEN(O160)+LEN(P160)+LEN(Q160)+LEN(R160)+LEN(S160)+LEN(T160))=0,"",IF(OR(A160="",B160="",C160="",D160="",E160="",J160="",K160="",N160=""),"⚠ Champ obligatoire manquant",IF(AND(ISNUMBER(K160),ISNUMBER(J160),N(K160)&gt;N(J160)),"⚠ Prix Autopiec &gt; prix public",IF(COUNTIFS($A$2:$A$1001,A160,$B$2:$B$1001,B160)&gt;1,"⚠ Référence en double","✔ OK"))))</f>
        <v/>
      </c>
    </row>
    <row r="161" customFormat="false" ht="15" hidden="false" customHeight="false" outlineLevel="0" collapsed="false">
      <c r="A161" s="11"/>
      <c r="B161" s="27"/>
      <c r="C161" s="11"/>
      <c r="D161" s="11"/>
      <c r="E161" s="11"/>
      <c r="F161" s="27"/>
      <c r="G161" s="27"/>
      <c r="H161" s="11"/>
      <c r="I161" s="11"/>
      <c r="J161" s="12"/>
      <c r="K161" s="12"/>
      <c r="L161" s="28" t="str">
        <f aca="false">IF(AND(ISNUMBER(J161),ISNUMBER(K161),N(J161)&gt;0),1-K161/J161,"")</f>
        <v/>
      </c>
      <c r="M161" s="29"/>
      <c r="N161" s="30"/>
      <c r="O161" s="30"/>
      <c r="P161" s="11"/>
      <c r="Q161" s="31"/>
      <c r="R161" s="11"/>
      <c r="S161" s="11"/>
      <c r="T161" s="11"/>
      <c r="U161" s="32" t="str">
        <f aca="false">IF((LEN(A161)+LEN(B161)+LEN(C161)+LEN(D161)+LEN(E161)+LEN(F161)+LEN(G161)+LEN(H161)+LEN(I161)+LEN(J161)+LEN(K161)+LEN(M161)+LEN(N161)+LEN(O161)+LEN(P161)+LEN(Q161)+LEN(R161)+LEN(S161)+LEN(T161))=0,"",IF(OR(A161="",B161="",C161="",D161="",E161="",J161="",K161="",N161=""),"⚠ Champ obligatoire manquant",IF(AND(ISNUMBER(K161),ISNUMBER(J161),N(K161)&gt;N(J161)),"⚠ Prix Autopiec &gt; prix public",IF(COUNTIFS($A$2:$A$1001,A161,$B$2:$B$1001,B161)&gt;1,"⚠ Référence en double","✔ OK"))))</f>
        <v/>
      </c>
    </row>
    <row r="162" customFormat="false" ht="15" hidden="false" customHeight="false" outlineLevel="0" collapsed="false">
      <c r="A162" s="11"/>
      <c r="B162" s="27"/>
      <c r="C162" s="11"/>
      <c r="D162" s="11"/>
      <c r="E162" s="11"/>
      <c r="F162" s="27"/>
      <c r="G162" s="27"/>
      <c r="H162" s="11"/>
      <c r="I162" s="11"/>
      <c r="J162" s="12"/>
      <c r="K162" s="12"/>
      <c r="L162" s="28" t="str">
        <f aca="false">IF(AND(ISNUMBER(J162),ISNUMBER(K162),N(J162)&gt;0),1-K162/J162,"")</f>
        <v/>
      </c>
      <c r="M162" s="29"/>
      <c r="N162" s="30"/>
      <c r="O162" s="30"/>
      <c r="P162" s="11"/>
      <c r="Q162" s="31"/>
      <c r="R162" s="11"/>
      <c r="S162" s="11"/>
      <c r="T162" s="11"/>
      <c r="U162" s="32" t="str">
        <f aca="false">IF((LEN(A162)+LEN(B162)+LEN(C162)+LEN(D162)+LEN(E162)+LEN(F162)+LEN(G162)+LEN(H162)+LEN(I162)+LEN(J162)+LEN(K162)+LEN(M162)+LEN(N162)+LEN(O162)+LEN(P162)+LEN(Q162)+LEN(R162)+LEN(S162)+LEN(T162))=0,"",IF(OR(A162="",B162="",C162="",D162="",E162="",J162="",K162="",N162=""),"⚠ Champ obligatoire manquant",IF(AND(ISNUMBER(K162),ISNUMBER(J162),N(K162)&gt;N(J162)),"⚠ Prix Autopiec &gt; prix public",IF(COUNTIFS($A$2:$A$1001,A162,$B$2:$B$1001,B162)&gt;1,"⚠ Référence en double","✔ OK"))))</f>
        <v/>
      </c>
    </row>
    <row r="163" customFormat="false" ht="15" hidden="false" customHeight="false" outlineLevel="0" collapsed="false">
      <c r="A163" s="11"/>
      <c r="B163" s="27"/>
      <c r="C163" s="11"/>
      <c r="D163" s="11"/>
      <c r="E163" s="11"/>
      <c r="F163" s="27"/>
      <c r="G163" s="27"/>
      <c r="H163" s="11"/>
      <c r="I163" s="11"/>
      <c r="J163" s="12"/>
      <c r="K163" s="12"/>
      <c r="L163" s="28" t="str">
        <f aca="false">IF(AND(ISNUMBER(J163),ISNUMBER(K163),N(J163)&gt;0),1-K163/J163,"")</f>
        <v/>
      </c>
      <c r="M163" s="29"/>
      <c r="N163" s="30"/>
      <c r="O163" s="30"/>
      <c r="P163" s="11"/>
      <c r="Q163" s="31"/>
      <c r="R163" s="11"/>
      <c r="S163" s="11"/>
      <c r="T163" s="11"/>
      <c r="U163" s="32" t="str">
        <f aca="false">IF((LEN(A163)+LEN(B163)+LEN(C163)+LEN(D163)+LEN(E163)+LEN(F163)+LEN(G163)+LEN(H163)+LEN(I163)+LEN(J163)+LEN(K163)+LEN(M163)+LEN(N163)+LEN(O163)+LEN(P163)+LEN(Q163)+LEN(R163)+LEN(S163)+LEN(T163))=0,"",IF(OR(A163="",B163="",C163="",D163="",E163="",J163="",K163="",N163=""),"⚠ Champ obligatoire manquant",IF(AND(ISNUMBER(K163),ISNUMBER(J163),N(K163)&gt;N(J163)),"⚠ Prix Autopiec &gt; prix public",IF(COUNTIFS($A$2:$A$1001,A163,$B$2:$B$1001,B163)&gt;1,"⚠ Référence en double","✔ OK"))))</f>
        <v/>
      </c>
    </row>
    <row r="164" customFormat="false" ht="15" hidden="false" customHeight="false" outlineLevel="0" collapsed="false">
      <c r="A164" s="11"/>
      <c r="B164" s="27"/>
      <c r="C164" s="11"/>
      <c r="D164" s="11"/>
      <c r="E164" s="11"/>
      <c r="F164" s="27"/>
      <c r="G164" s="27"/>
      <c r="H164" s="11"/>
      <c r="I164" s="11"/>
      <c r="J164" s="12"/>
      <c r="K164" s="12"/>
      <c r="L164" s="28" t="str">
        <f aca="false">IF(AND(ISNUMBER(J164),ISNUMBER(K164),N(J164)&gt;0),1-K164/J164,"")</f>
        <v/>
      </c>
      <c r="M164" s="29"/>
      <c r="N164" s="30"/>
      <c r="O164" s="30"/>
      <c r="P164" s="11"/>
      <c r="Q164" s="31"/>
      <c r="R164" s="11"/>
      <c r="S164" s="11"/>
      <c r="T164" s="11"/>
      <c r="U164" s="32" t="str">
        <f aca="false">IF((LEN(A164)+LEN(B164)+LEN(C164)+LEN(D164)+LEN(E164)+LEN(F164)+LEN(G164)+LEN(H164)+LEN(I164)+LEN(J164)+LEN(K164)+LEN(M164)+LEN(N164)+LEN(O164)+LEN(P164)+LEN(Q164)+LEN(R164)+LEN(S164)+LEN(T164))=0,"",IF(OR(A164="",B164="",C164="",D164="",E164="",J164="",K164="",N164=""),"⚠ Champ obligatoire manquant",IF(AND(ISNUMBER(K164),ISNUMBER(J164),N(K164)&gt;N(J164)),"⚠ Prix Autopiec &gt; prix public",IF(COUNTIFS($A$2:$A$1001,A164,$B$2:$B$1001,B164)&gt;1,"⚠ Référence en double","✔ OK"))))</f>
        <v/>
      </c>
    </row>
    <row r="165" customFormat="false" ht="15" hidden="false" customHeight="false" outlineLevel="0" collapsed="false">
      <c r="A165" s="11"/>
      <c r="B165" s="27"/>
      <c r="C165" s="11"/>
      <c r="D165" s="11"/>
      <c r="E165" s="11"/>
      <c r="F165" s="27"/>
      <c r="G165" s="27"/>
      <c r="H165" s="11"/>
      <c r="I165" s="11"/>
      <c r="J165" s="12"/>
      <c r="K165" s="12"/>
      <c r="L165" s="28" t="str">
        <f aca="false">IF(AND(ISNUMBER(J165),ISNUMBER(K165),N(J165)&gt;0),1-K165/J165,"")</f>
        <v/>
      </c>
      <c r="M165" s="29"/>
      <c r="N165" s="30"/>
      <c r="O165" s="30"/>
      <c r="P165" s="11"/>
      <c r="Q165" s="31"/>
      <c r="R165" s="11"/>
      <c r="S165" s="11"/>
      <c r="T165" s="11"/>
      <c r="U165" s="32" t="str">
        <f aca="false">IF((LEN(A165)+LEN(B165)+LEN(C165)+LEN(D165)+LEN(E165)+LEN(F165)+LEN(G165)+LEN(H165)+LEN(I165)+LEN(J165)+LEN(K165)+LEN(M165)+LEN(N165)+LEN(O165)+LEN(P165)+LEN(Q165)+LEN(R165)+LEN(S165)+LEN(T165))=0,"",IF(OR(A165="",B165="",C165="",D165="",E165="",J165="",K165="",N165=""),"⚠ Champ obligatoire manquant",IF(AND(ISNUMBER(K165),ISNUMBER(J165),N(K165)&gt;N(J165)),"⚠ Prix Autopiec &gt; prix public",IF(COUNTIFS($A$2:$A$1001,A165,$B$2:$B$1001,B165)&gt;1,"⚠ Référence en double","✔ OK"))))</f>
        <v/>
      </c>
    </row>
    <row r="166" customFormat="false" ht="15" hidden="false" customHeight="false" outlineLevel="0" collapsed="false">
      <c r="A166" s="11"/>
      <c r="B166" s="27"/>
      <c r="C166" s="11"/>
      <c r="D166" s="11"/>
      <c r="E166" s="11"/>
      <c r="F166" s="27"/>
      <c r="G166" s="27"/>
      <c r="H166" s="11"/>
      <c r="I166" s="11"/>
      <c r="J166" s="12"/>
      <c r="K166" s="12"/>
      <c r="L166" s="28" t="str">
        <f aca="false">IF(AND(ISNUMBER(J166),ISNUMBER(K166),N(J166)&gt;0),1-K166/J166,"")</f>
        <v/>
      </c>
      <c r="M166" s="29"/>
      <c r="N166" s="30"/>
      <c r="O166" s="30"/>
      <c r="P166" s="11"/>
      <c r="Q166" s="31"/>
      <c r="R166" s="11"/>
      <c r="S166" s="11"/>
      <c r="T166" s="11"/>
      <c r="U166" s="32" t="str">
        <f aca="false">IF((LEN(A166)+LEN(B166)+LEN(C166)+LEN(D166)+LEN(E166)+LEN(F166)+LEN(G166)+LEN(H166)+LEN(I166)+LEN(J166)+LEN(K166)+LEN(M166)+LEN(N166)+LEN(O166)+LEN(P166)+LEN(Q166)+LEN(R166)+LEN(S166)+LEN(T166))=0,"",IF(OR(A166="",B166="",C166="",D166="",E166="",J166="",K166="",N166=""),"⚠ Champ obligatoire manquant",IF(AND(ISNUMBER(K166),ISNUMBER(J166),N(K166)&gt;N(J166)),"⚠ Prix Autopiec &gt; prix public",IF(COUNTIFS($A$2:$A$1001,A166,$B$2:$B$1001,B166)&gt;1,"⚠ Référence en double","✔ OK"))))</f>
        <v/>
      </c>
    </row>
    <row r="167" customFormat="false" ht="15" hidden="false" customHeight="false" outlineLevel="0" collapsed="false">
      <c r="A167" s="11"/>
      <c r="B167" s="27"/>
      <c r="C167" s="11"/>
      <c r="D167" s="11"/>
      <c r="E167" s="11"/>
      <c r="F167" s="27"/>
      <c r="G167" s="27"/>
      <c r="H167" s="11"/>
      <c r="I167" s="11"/>
      <c r="J167" s="12"/>
      <c r="K167" s="12"/>
      <c r="L167" s="28" t="str">
        <f aca="false">IF(AND(ISNUMBER(J167),ISNUMBER(K167),N(J167)&gt;0),1-K167/J167,"")</f>
        <v/>
      </c>
      <c r="M167" s="29"/>
      <c r="N167" s="30"/>
      <c r="O167" s="30"/>
      <c r="P167" s="11"/>
      <c r="Q167" s="31"/>
      <c r="R167" s="11"/>
      <c r="S167" s="11"/>
      <c r="T167" s="11"/>
      <c r="U167" s="32" t="str">
        <f aca="false">IF((LEN(A167)+LEN(B167)+LEN(C167)+LEN(D167)+LEN(E167)+LEN(F167)+LEN(G167)+LEN(H167)+LEN(I167)+LEN(J167)+LEN(K167)+LEN(M167)+LEN(N167)+LEN(O167)+LEN(P167)+LEN(Q167)+LEN(R167)+LEN(S167)+LEN(T167))=0,"",IF(OR(A167="",B167="",C167="",D167="",E167="",J167="",K167="",N167=""),"⚠ Champ obligatoire manquant",IF(AND(ISNUMBER(K167),ISNUMBER(J167),N(K167)&gt;N(J167)),"⚠ Prix Autopiec &gt; prix public",IF(COUNTIFS($A$2:$A$1001,A167,$B$2:$B$1001,B167)&gt;1,"⚠ Référence en double","✔ OK"))))</f>
        <v/>
      </c>
    </row>
    <row r="168" customFormat="false" ht="15" hidden="false" customHeight="false" outlineLevel="0" collapsed="false">
      <c r="A168" s="11"/>
      <c r="B168" s="27"/>
      <c r="C168" s="11"/>
      <c r="D168" s="11"/>
      <c r="E168" s="11"/>
      <c r="F168" s="27"/>
      <c r="G168" s="27"/>
      <c r="H168" s="11"/>
      <c r="I168" s="11"/>
      <c r="J168" s="12"/>
      <c r="K168" s="12"/>
      <c r="L168" s="28" t="str">
        <f aca="false">IF(AND(ISNUMBER(J168),ISNUMBER(K168),N(J168)&gt;0),1-K168/J168,"")</f>
        <v/>
      </c>
      <c r="M168" s="29"/>
      <c r="N168" s="30"/>
      <c r="O168" s="30"/>
      <c r="P168" s="11"/>
      <c r="Q168" s="31"/>
      <c r="R168" s="11"/>
      <c r="S168" s="11"/>
      <c r="T168" s="11"/>
      <c r="U168" s="32" t="str">
        <f aca="false">IF((LEN(A168)+LEN(B168)+LEN(C168)+LEN(D168)+LEN(E168)+LEN(F168)+LEN(G168)+LEN(H168)+LEN(I168)+LEN(J168)+LEN(K168)+LEN(M168)+LEN(N168)+LEN(O168)+LEN(P168)+LEN(Q168)+LEN(R168)+LEN(S168)+LEN(T168))=0,"",IF(OR(A168="",B168="",C168="",D168="",E168="",J168="",K168="",N168=""),"⚠ Champ obligatoire manquant",IF(AND(ISNUMBER(K168),ISNUMBER(J168),N(K168)&gt;N(J168)),"⚠ Prix Autopiec &gt; prix public",IF(COUNTIFS($A$2:$A$1001,A168,$B$2:$B$1001,B168)&gt;1,"⚠ Référence en double","✔ OK"))))</f>
        <v/>
      </c>
    </row>
    <row r="169" customFormat="false" ht="15" hidden="false" customHeight="false" outlineLevel="0" collapsed="false">
      <c r="A169" s="11"/>
      <c r="B169" s="27"/>
      <c r="C169" s="11"/>
      <c r="D169" s="11"/>
      <c r="E169" s="11"/>
      <c r="F169" s="27"/>
      <c r="G169" s="27"/>
      <c r="H169" s="11"/>
      <c r="I169" s="11"/>
      <c r="J169" s="12"/>
      <c r="K169" s="12"/>
      <c r="L169" s="28" t="str">
        <f aca="false">IF(AND(ISNUMBER(J169),ISNUMBER(K169),N(J169)&gt;0),1-K169/J169,"")</f>
        <v/>
      </c>
      <c r="M169" s="29"/>
      <c r="N169" s="30"/>
      <c r="O169" s="30"/>
      <c r="P169" s="11"/>
      <c r="Q169" s="31"/>
      <c r="R169" s="11"/>
      <c r="S169" s="11"/>
      <c r="T169" s="11"/>
      <c r="U169" s="32" t="str">
        <f aca="false">IF((LEN(A169)+LEN(B169)+LEN(C169)+LEN(D169)+LEN(E169)+LEN(F169)+LEN(G169)+LEN(H169)+LEN(I169)+LEN(J169)+LEN(K169)+LEN(M169)+LEN(N169)+LEN(O169)+LEN(P169)+LEN(Q169)+LEN(R169)+LEN(S169)+LEN(T169))=0,"",IF(OR(A169="",B169="",C169="",D169="",E169="",J169="",K169="",N169=""),"⚠ Champ obligatoire manquant",IF(AND(ISNUMBER(K169),ISNUMBER(J169),N(K169)&gt;N(J169)),"⚠ Prix Autopiec &gt; prix public",IF(COUNTIFS($A$2:$A$1001,A169,$B$2:$B$1001,B169)&gt;1,"⚠ Référence en double","✔ OK"))))</f>
        <v/>
      </c>
    </row>
    <row r="170" customFormat="false" ht="15" hidden="false" customHeight="false" outlineLevel="0" collapsed="false">
      <c r="A170" s="11"/>
      <c r="B170" s="27"/>
      <c r="C170" s="11"/>
      <c r="D170" s="11"/>
      <c r="E170" s="11"/>
      <c r="F170" s="27"/>
      <c r="G170" s="27"/>
      <c r="H170" s="11"/>
      <c r="I170" s="11"/>
      <c r="J170" s="12"/>
      <c r="K170" s="12"/>
      <c r="L170" s="28" t="str">
        <f aca="false">IF(AND(ISNUMBER(J170),ISNUMBER(K170),N(J170)&gt;0),1-K170/J170,"")</f>
        <v/>
      </c>
      <c r="M170" s="29"/>
      <c r="N170" s="30"/>
      <c r="O170" s="30"/>
      <c r="P170" s="11"/>
      <c r="Q170" s="31"/>
      <c r="R170" s="11"/>
      <c r="S170" s="11"/>
      <c r="T170" s="11"/>
      <c r="U170" s="32" t="str">
        <f aca="false">IF((LEN(A170)+LEN(B170)+LEN(C170)+LEN(D170)+LEN(E170)+LEN(F170)+LEN(G170)+LEN(H170)+LEN(I170)+LEN(J170)+LEN(K170)+LEN(M170)+LEN(N170)+LEN(O170)+LEN(P170)+LEN(Q170)+LEN(R170)+LEN(S170)+LEN(T170))=0,"",IF(OR(A170="",B170="",C170="",D170="",E170="",J170="",K170="",N170=""),"⚠ Champ obligatoire manquant",IF(AND(ISNUMBER(K170),ISNUMBER(J170),N(K170)&gt;N(J170)),"⚠ Prix Autopiec &gt; prix public",IF(COUNTIFS($A$2:$A$1001,A170,$B$2:$B$1001,B170)&gt;1,"⚠ Référence en double","✔ OK"))))</f>
        <v/>
      </c>
    </row>
    <row r="171" customFormat="false" ht="15" hidden="false" customHeight="false" outlineLevel="0" collapsed="false">
      <c r="A171" s="11"/>
      <c r="B171" s="27"/>
      <c r="C171" s="11"/>
      <c r="D171" s="11"/>
      <c r="E171" s="11"/>
      <c r="F171" s="27"/>
      <c r="G171" s="27"/>
      <c r="H171" s="11"/>
      <c r="I171" s="11"/>
      <c r="J171" s="12"/>
      <c r="K171" s="12"/>
      <c r="L171" s="28" t="str">
        <f aca="false">IF(AND(ISNUMBER(J171),ISNUMBER(K171),N(J171)&gt;0),1-K171/J171,"")</f>
        <v/>
      </c>
      <c r="M171" s="29"/>
      <c r="N171" s="30"/>
      <c r="O171" s="30"/>
      <c r="P171" s="11"/>
      <c r="Q171" s="31"/>
      <c r="R171" s="11"/>
      <c r="S171" s="11"/>
      <c r="T171" s="11"/>
      <c r="U171" s="32" t="str">
        <f aca="false">IF((LEN(A171)+LEN(B171)+LEN(C171)+LEN(D171)+LEN(E171)+LEN(F171)+LEN(G171)+LEN(H171)+LEN(I171)+LEN(J171)+LEN(K171)+LEN(M171)+LEN(N171)+LEN(O171)+LEN(P171)+LEN(Q171)+LEN(R171)+LEN(S171)+LEN(T171))=0,"",IF(OR(A171="",B171="",C171="",D171="",E171="",J171="",K171="",N171=""),"⚠ Champ obligatoire manquant",IF(AND(ISNUMBER(K171),ISNUMBER(J171),N(K171)&gt;N(J171)),"⚠ Prix Autopiec &gt; prix public",IF(COUNTIFS($A$2:$A$1001,A171,$B$2:$B$1001,B171)&gt;1,"⚠ Référence en double","✔ OK"))))</f>
        <v/>
      </c>
    </row>
    <row r="172" customFormat="false" ht="15" hidden="false" customHeight="false" outlineLevel="0" collapsed="false">
      <c r="A172" s="11"/>
      <c r="B172" s="27"/>
      <c r="C172" s="11"/>
      <c r="D172" s="11"/>
      <c r="E172" s="11"/>
      <c r="F172" s="27"/>
      <c r="G172" s="27"/>
      <c r="H172" s="11"/>
      <c r="I172" s="11"/>
      <c r="J172" s="12"/>
      <c r="K172" s="12"/>
      <c r="L172" s="28" t="str">
        <f aca="false">IF(AND(ISNUMBER(J172),ISNUMBER(K172),N(J172)&gt;0),1-K172/J172,"")</f>
        <v/>
      </c>
      <c r="M172" s="29"/>
      <c r="N172" s="30"/>
      <c r="O172" s="30"/>
      <c r="P172" s="11"/>
      <c r="Q172" s="31"/>
      <c r="R172" s="11"/>
      <c r="S172" s="11"/>
      <c r="T172" s="11"/>
      <c r="U172" s="32" t="str">
        <f aca="false">IF((LEN(A172)+LEN(B172)+LEN(C172)+LEN(D172)+LEN(E172)+LEN(F172)+LEN(G172)+LEN(H172)+LEN(I172)+LEN(J172)+LEN(K172)+LEN(M172)+LEN(N172)+LEN(O172)+LEN(P172)+LEN(Q172)+LEN(R172)+LEN(S172)+LEN(T172))=0,"",IF(OR(A172="",B172="",C172="",D172="",E172="",J172="",K172="",N172=""),"⚠ Champ obligatoire manquant",IF(AND(ISNUMBER(K172),ISNUMBER(J172),N(K172)&gt;N(J172)),"⚠ Prix Autopiec &gt; prix public",IF(COUNTIFS($A$2:$A$1001,A172,$B$2:$B$1001,B172)&gt;1,"⚠ Référence en double","✔ OK"))))</f>
        <v/>
      </c>
    </row>
    <row r="173" customFormat="false" ht="15" hidden="false" customHeight="false" outlineLevel="0" collapsed="false">
      <c r="A173" s="11"/>
      <c r="B173" s="27"/>
      <c r="C173" s="11"/>
      <c r="D173" s="11"/>
      <c r="E173" s="11"/>
      <c r="F173" s="27"/>
      <c r="G173" s="27"/>
      <c r="H173" s="11"/>
      <c r="I173" s="11"/>
      <c r="J173" s="12"/>
      <c r="K173" s="12"/>
      <c r="L173" s="28" t="str">
        <f aca="false">IF(AND(ISNUMBER(J173),ISNUMBER(K173),N(J173)&gt;0),1-K173/J173,"")</f>
        <v/>
      </c>
      <c r="M173" s="29"/>
      <c r="N173" s="30"/>
      <c r="O173" s="30"/>
      <c r="P173" s="11"/>
      <c r="Q173" s="31"/>
      <c r="R173" s="11"/>
      <c r="S173" s="11"/>
      <c r="T173" s="11"/>
      <c r="U173" s="32" t="str">
        <f aca="false">IF((LEN(A173)+LEN(B173)+LEN(C173)+LEN(D173)+LEN(E173)+LEN(F173)+LEN(G173)+LEN(H173)+LEN(I173)+LEN(J173)+LEN(K173)+LEN(M173)+LEN(N173)+LEN(O173)+LEN(P173)+LEN(Q173)+LEN(R173)+LEN(S173)+LEN(T173))=0,"",IF(OR(A173="",B173="",C173="",D173="",E173="",J173="",K173="",N173=""),"⚠ Champ obligatoire manquant",IF(AND(ISNUMBER(K173),ISNUMBER(J173),N(K173)&gt;N(J173)),"⚠ Prix Autopiec &gt; prix public",IF(COUNTIFS($A$2:$A$1001,A173,$B$2:$B$1001,B173)&gt;1,"⚠ Référence en double","✔ OK"))))</f>
        <v/>
      </c>
    </row>
    <row r="174" customFormat="false" ht="15" hidden="false" customHeight="false" outlineLevel="0" collapsed="false">
      <c r="A174" s="11"/>
      <c r="B174" s="27"/>
      <c r="C174" s="11"/>
      <c r="D174" s="11"/>
      <c r="E174" s="11"/>
      <c r="F174" s="27"/>
      <c r="G174" s="27"/>
      <c r="H174" s="11"/>
      <c r="I174" s="11"/>
      <c r="J174" s="12"/>
      <c r="K174" s="12"/>
      <c r="L174" s="28" t="str">
        <f aca="false">IF(AND(ISNUMBER(J174),ISNUMBER(K174),N(J174)&gt;0),1-K174/J174,"")</f>
        <v/>
      </c>
      <c r="M174" s="29"/>
      <c r="N174" s="30"/>
      <c r="O174" s="30"/>
      <c r="P174" s="11"/>
      <c r="Q174" s="31"/>
      <c r="R174" s="11"/>
      <c r="S174" s="11"/>
      <c r="T174" s="11"/>
      <c r="U174" s="32" t="str">
        <f aca="false">IF((LEN(A174)+LEN(B174)+LEN(C174)+LEN(D174)+LEN(E174)+LEN(F174)+LEN(G174)+LEN(H174)+LEN(I174)+LEN(J174)+LEN(K174)+LEN(M174)+LEN(N174)+LEN(O174)+LEN(P174)+LEN(Q174)+LEN(R174)+LEN(S174)+LEN(T174))=0,"",IF(OR(A174="",B174="",C174="",D174="",E174="",J174="",K174="",N174=""),"⚠ Champ obligatoire manquant",IF(AND(ISNUMBER(K174),ISNUMBER(J174),N(K174)&gt;N(J174)),"⚠ Prix Autopiec &gt; prix public",IF(COUNTIFS($A$2:$A$1001,A174,$B$2:$B$1001,B174)&gt;1,"⚠ Référence en double","✔ OK"))))</f>
        <v/>
      </c>
    </row>
    <row r="175" customFormat="false" ht="15" hidden="false" customHeight="false" outlineLevel="0" collapsed="false">
      <c r="A175" s="11"/>
      <c r="B175" s="27"/>
      <c r="C175" s="11"/>
      <c r="D175" s="11"/>
      <c r="E175" s="11"/>
      <c r="F175" s="27"/>
      <c r="G175" s="27"/>
      <c r="H175" s="11"/>
      <c r="I175" s="11"/>
      <c r="J175" s="12"/>
      <c r="K175" s="12"/>
      <c r="L175" s="28" t="str">
        <f aca="false">IF(AND(ISNUMBER(J175),ISNUMBER(K175),N(J175)&gt;0),1-K175/J175,"")</f>
        <v/>
      </c>
      <c r="M175" s="29"/>
      <c r="N175" s="30"/>
      <c r="O175" s="30"/>
      <c r="P175" s="11"/>
      <c r="Q175" s="31"/>
      <c r="R175" s="11"/>
      <c r="S175" s="11"/>
      <c r="T175" s="11"/>
      <c r="U175" s="32" t="str">
        <f aca="false">IF((LEN(A175)+LEN(B175)+LEN(C175)+LEN(D175)+LEN(E175)+LEN(F175)+LEN(G175)+LEN(H175)+LEN(I175)+LEN(J175)+LEN(K175)+LEN(M175)+LEN(N175)+LEN(O175)+LEN(P175)+LEN(Q175)+LEN(R175)+LEN(S175)+LEN(T175))=0,"",IF(OR(A175="",B175="",C175="",D175="",E175="",J175="",K175="",N175=""),"⚠ Champ obligatoire manquant",IF(AND(ISNUMBER(K175),ISNUMBER(J175),N(K175)&gt;N(J175)),"⚠ Prix Autopiec &gt; prix public",IF(COUNTIFS($A$2:$A$1001,A175,$B$2:$B$1001,B175)&gt;1,"⚠ Référence en double","✔ OK"))))</f>
        <v/>
      </c>
    </row>
    <row r="176" customFormat="false" ht="15" hidden="false" customHeight="false" outlineLevel="0" collapsed="false">
      <c r="A176" s="11"/>
      <c r="B176" s="27"/>
      <c r="C176" s="11"/>
      <c r="D176" s="11"/>
      <c r="E176" s="11"/>
      <c r="F176" s="27"/>
      <c r="G176" s="27"/>
      <c r="H176" s="11"/>
      <c r="I176" s="11"/>
      <c r="J176" s="12"/>
      <c r="K176" s="12"/>
      <c r="L176" s="28" t="str">
        <f aca="false">IF(AND(ISNUMBER(J176),ISNUMBER(K176),N(J176)&gt;0),1-K176/J176,"")</f>
        <v/>
      </c>
      <c r="M176" s="29"/>
      <c r="N176" s="30"/>
      <c r="O176" s="30"/>
      <c r="P176" s="11"/>
      <c r="Q176" s="31"/>
      <c r="R176" s="11"/>
      <c r="S176" s="11"/>
      <c r="T176" s="11"/>
      <c r="U176" s="32" t="str">
        <f aca="false">IF((LEN(A176)+LEN(B176)+LEN(C176)+LEN(D176)+LEN(E176)+LEN(F176)+LEN(G176)+LEN(H176)+LEN(I176)+LEN(J176)+LEN(K176)+LEN(M176)+LEN(N176)+LEN(O176)+LEN(P176)+LEN(Q176)+LEN(R176)+LEN(S176)+LEN(T176))=0,"",IF(OR(A176="",B176="",C176="",D176="",E176="",J176="",K176="",N176=""),"⚠ Champ obligatoire manquant",IF(AND(ISNUMBER(K176),ISNUMBER(J176),N(K176)&gt;N(J176)),"⚠ Prix Autopiec &gt; prix public",IF(COUNTIFS($A$2:$A$1001,A176,$B$2:$B$1001,B176)&gt;1,"⚠ Référence en double","✔ OK"))))</f>
        <v/>
      </c>
    </row>
    <row r="177" customFormat="false" ht="15" hidden="false" customHeight="false" outlineLevel="0" collapsed="false">
      <c r="A177" s="11"/>
      <c r="B177" s="27"/>
      <c r="C177" s="11"/>
      <c r="D177" s="11"/>
      <c r="E177" s="11"/>
      <c r="F177" s="27"/>
      <c r="G177" s="27"/>
      <c r="H177" s="11"/>
      <c r="I177" s="11"/>
      <c r="J177" s="12"/>
      <c r="K177" s="12"/>
      <c r="L177" s="28" t="str">
        <f aca="false">IF(AND(ISNUMBER(J177),ISNUMBER(K177),N(J177)&gt;0),1-K177/J177,"")</f>
        <v/>
      </c>
      <c r="M177" s="29"/>
      <c r="N177" s="30"/>
      <c r="O177" s="30"/>
      <c r="P177" s="11"/>
      <c r="Q177" s="31"/>
      <c r="R177" s="11"/>
      <c r="S177" s="11"/>
      <c r="T177" s="11"/>
      <c r="U177" s="32" t="str">
        <f aca="false">IF((LEN(A177)+LEN(B177)+LEN(C177)+LEN(D177)+LEN(E177)+LEN(F177)+LEN(G177)+LEN(H177)+LEN(I177)+LEN(J177)+LEN(K177)+LEN(M177)+LEN(N177)+LEN(O177)+LEN(P177)+LEN(Q177)+LEN(R177)+LEN(S177)+LEN(T177))=0,"",IF(OR(A177="",B177="",C177="",D177="",E177="",J177="",K177="",N177=""),"⚠ Champ obligatoire manquant",IF(AND(ISNUMBER(K177),ISNUMBER(J177),N(K177)&gt;N(J177)),"⚠ Prix Autopiec &gt; prix public",IF(COUNTIFS($A$2:$A$1001,A177,$B$2:$B$1001,B177)&gt;1,"⚠ Référence en double","✔ OK"))))</f>
        <v/>
      </c>
    </row>
    <row r="178" customFormat="false" ht="15" hidden="false" customHeight="false" outlineLevel="0" collapsed="false">
      <c r="A178" s="11"/>
      <c r="B178" s="27"/>
      <c r="C178" s="11"/>
      <c r="D178" s="11"/>
      <c r="E178" s="11"/>
      <c r="F178" s="27"/>
      <c r="G178" s="27"/>
      <c r="H178" s="11"/>
      <c r="I178" s="11"/>
      <c r="J178" s="12"/>
      <c r="K178" s="12"/>
      <c r="L178" s="28" t="str">
        <f aca="false">IF(AND(ISNUMBER(J178),ISNUMBER(K178),N(J178)&gt;0),1-K178/J178,"")</f>
        <v/>
      </c>
      <c r="M178" s="29"/>
      <c r="N178" s="30"/>
      <c r="O178" s="30"/>
      <c r="P178" s="11"/>
      <c r="Q178" s="31"/>
      <c r="R178" s="11"/>
      <c r="S178" s="11"/>
      <c r="T178" s="11"/>
      <c r="U178" s="32" t="str">
        <f aca="false">IF((LEN(A178)+LEN(B178)+LEN(C178)+LEN(D178)+LEN(E178)+LEN(F178)+LEN(G178)+LEN(H178)+LEN(I178)+LEN(J178)+LEN(K178)+LEN(M178)+LEN(N178)+LEN(O178)+LEN(P178)+LEN(Q178)+LEN(R178)+LEN(S178)+LEN(T178))=0,"",IF(OR(A178="",B178="",C178="",D178="",E178="",J178="",K178="",N178=""),"⚠ Champ obligatoire manquant",IF(AND(ISNUMBER(K178),ISNUMBER(J178),N(K178)&gt;N(J178)),"⚠ Prix Autopiec &gt; prix public",IF(COUNTIFS($A$2:$A$1001,A178,$B$2:$B$1001,B178)&gt;1,"⚠ Référence en double","✔ OK"))))</f>
        <v/>
      </c>
    </row>
    <row r="179" customFormat="false" ht="15" hidden="false" customHeight="false" outlineLevel="0" collapsed="false">
      <c r="A179" s="11"/>
      <c r="B179" s="27"/>
      <c r="C179" s="11"/>
      <c r="D179" s="11"/>
      <c r="E179" s="11"/>
      <c r="F179" s="27"/>
      <c r="G179" s="27"/>
      <c r="H179" s="11"/>
      <c r="I179" s="11"/>
      <c r="J179" s="12"/>
      <c r="K179" s="12"/>
      <c r="L179" s="28" t="str">
        <f aca="false">IF(AND(ISNUMBER(J179),ISNUMBER(K179),N(J179)&gt;0),1-K179/J179,"")</f>
        <v/>
      </c>
      <c r="M179" s="29"/>
      <c r="N179" s="30"/>
      <c r="O179" s="30"/>
      <c r="P179" s="11"/>
      <c r="Q179" s="31"/>
      <c r="R179" s="11"/>
      <c r="S179" s="11"/>
      <c r="T179" s="11"/>
      <c r="U179" s="32" t="str">
        <f aca="false">IF((LEN(A179)+LEN(B179)+LEN(C179)+LEN(D179)+LEN(E179)+LEN(F179)+LEN(G179)+LEN(H179)+LEN(I179)+LEN(J179)+LEN(K179)+LEN(M179)+LEN(N179)+LEN(O179)+LEN(P179)+LEN(Q179)+LEN(R179)+LEN(S179)+LEN(T179))=0,"",IF(OR(A179="",B179="",C179="",D179="",E179="",J179="",K179="",N179=""),"⚠ Champ obligatoire manquant",IF(AND(ISNUMBER(K179),ISNUMBER(J179),N(K179)&gt;N(J179)),"⚠ Prix Autopiec &gt; prix public",IF(COUNTIFS($A$2:$A$1001,A179,$B$2:$B$1001,B179)&gt;1,"⚠ Référence en double","✔ OK"))))</f>
        <v/>
      </c>
    </row>
    <row r="180" customFormat="false" ht="15" hidden="false" customHeight="false" outlineLevel="0" collapsed="false">
      <c r="A180" s="11"/>
      <c r="B180" s="27"/>
      <c r="C180" s="11"/>
      <c r="D180" s="11"/>
      <c r="E180" s="11"/>
      <c r="F180" s="27"/>
      <c r="G180" s="27"/>
      <c r="H180" s="11"/>
      <c r="I180" s="11"/>
      <c r="J180" s="12"/>
      <c r="K180" s="12"/>
      <c r="L180" s="28" t="str">
        <f aca="false">IF(AND(ISNUMBER(J180),ISNUMBER(K180),N(J180)&gt;0),1-K180/J180,"")</f>
        <v/>
      </c>
      <c r="M180" s="29"/>
      <c r="N180" s="30"/>
      <c r="O180" s="30"/>
      <c r="P180" s="11"/>
      <c r="Q180" s="31"/>
      <c r="R180" s="11"/>
      <c r="S180" s="11"/>
      <c r="T180" s="11"/>
      <c r="U180" s="32" t="str">
        <f aca="false">IF((LEN(A180)+LEN(B180)+LEN(C180)+LEN(D180)+LEN(E180)+LEN(F180)+LEN(G180)+LEN(H180)+LEN(I180)+LEN(J180)+LEN(K180)+LEN(M180)+LEN(N180)+LEN(O180)+LEN(P180)+LEN(Q180)+LEN(R180)+LEN(S180)+LEN(T180))=0,"",IF(OR(A180="",B180="",C180="",D180="",E180="",J180="",K180="",N180=""),"⚠ Champ obligatoire manquant",IF(AND(ISNUMBER(K180),ISNUMBER(J180),N(K180)&gt;N(J180)),"⚠ Prix Autopiec &gt; prix public",IF(COUNTIFS($A$2:$A$1001,A180,$B$2:$B$1001,B180)&gt;1,"⚠ Référence en double","✔ OK"))))</f>
        <v/>
      </c>
    </row>
    <row r="181" customFormat="false" ht="15" hidden="false" customHeight="false" outlineLevel="0" collapsed="false">
      <c r="A181" s="11"/>
      <c r="B181" s="27"/>
      <c r="C181" s="11"/>
      <c r="D181" s="11"/>
      <c r="E181" s="11"/>
      <c r="F181" s="27"/>
      <c r="G181" s="27"/>
      <c r="H181" s="11"/>
      <c r="I181" s="11"/>
      <c r="J181" s="12"/>
      <c r="K181" s="12"/>
      <c r="L181" s="28" t="str">
        <f aca="false">IF(AND(ISNUMBER(J181),ISNUMBER(K181),N(J181)&gt;0),1-K181/J181,"")</f>
        <v/>
      </c>
      <c r="M181" s="29"/>
      <c r="N181" s="30"/>
      <c r="O181" s="30"/>
      <c r="P181" s="11"/>
      <c r="Q181" s="31"/>
      <c r="R181" s="11"/>
      <c r="S181" s="11"/>
      <c r="T181" s="11"/>
      <c r="U181" s="32" t="str">
        <f aca="false">IF((LEN(A181)+LEN(B181)+LEN(C181)+LEN(D181)+LEN(E181)+LEN(F181)+LEN(G181)+LEN(H181)+LEN(I181)+LEN(J181)+LEN(K181)+LEN(M181)+LEN(N181)+LEN(O181)+LEN(P181)+LEN(Q181)+LEN(R181)+LEN(S181)+LEN(T181))=0,"",IF(OR(A181="",B181="",C181="",D181="",E181="",J181="",K181="",N181=""),"⚠ Champ obligatoire manquant",IF(AND(ISNUMBER(K181),ISNUMBER(J181),N(K181)&gt;N(J181)),"⚠ Prix Autopiec &gt; prix public",IF(COUNTIFS($A$2:$A$1001,A181,$B$2:$B$1001,B181)&gt;1,"⚠ Référence en double","✔ OK"))))</f>
        <v/>
      </c>
    </row>
    <row r="182" customFormat="false" ht="15" hidden="false" customHeight="false" outlineLevel="0" collapsed="false">
      <c r="A182" s="11"/>
      <c r="B182" s="27"/>
      <c r="C182" s="11"/>
      <c r="D182" s="11"/>
      <c r="E182" s="11"/>
      <c r="F182" s="27"/>
      <c r="G182" s="27"/>
      <c r="H182" s="11"/>
      <c r="I182" s="11"/>
      <c r="J182" s="12"/>
      <c r="K182" s="12"/>
      <c r="L182" s="28" t="str">
        <f aca="false">IF(AND(ISNUMBER(J182),ISNUMBER(K182),N(J182)&gt;0),1-K182/J182,"")</f>
        <v/>
      </c>
      <c r="M182" s="29"/>
      <c r="N182" s="30"/>
      <c r="O182" s="30"/>
      <c r="P182" s="11"/>
      <c r="Q182" s="31"/>
      <c r="R182" s="11"/>
      <c r="S182" s="11"/>
      <c r="T182" s="11"/>
      <c r="U182" s="32" t="str">
        <f aca="false">IF((LEN(A182)+LEN(B182)+LEN(C182)+LEN(D182)+LEN(E182)+LEN(F182)+LEN(G182)+LEN(H182)+LEN(I182)+LEN(J182)+LEN(K182)+LEN(M182)+LEN(N182)+LEN(O182)+LEN(P182)+LEN(Q182)+LEN(R182)+LEN(S182)+LEN(T182))=0,"",IF(OR(A182="",B182="",C182="",D182="",E182="",J182="",K182="",N182=""),"⚠ Champ obligatoire manquant",IF(AND(ISNUMBER(K182),ISNUMBER(J182),N(K182)&gt;N(J182)),"⚠ Prix Autopiec &gt; prix public",IF(COUNTIFS($A$2:$A$1001,A182,$B$2:$B$1001,B182)&gt;1,"⚠ Référence en double","✔ OK"))))</f>
        <v/>
      </c>
    </row>
    <row r="183" customFormat="false" ht="15" hidden="false" customHeight="false" outlineLevel="0" collapsed="false">
      <c r="A183" s="11"/>
      <c r="B183" s="27"/>
      <c r="C183" s="11"/>
      <c r="D183" s="11"/>
      <c r="E183" s="11"/>
      <c r="F183" s="27"/>
      <c r="G183" s="27"/>
      <c r="H183" s="11"/>
      <c r="I183" s="11"/>
      <c r="J183" s="12"/>
      <c r="K183" s="12"/>
      <c r="L183" s="28" t="str">
        <f aca="false">IF(AND(ISNUMBER(J183),ISNUMBER(K183),N(J183)&gt;0),1-K183/J183,"")</f>
        <v/>
      </c>
      <c r="M183" s="29"/>
      <c r="N183" s="30"/>
      <c r="O183" s="30"/>
      <c r="P183" s="11"/>
      <c r="Q183" s="31"/>
      <c r="R183" s="11"/>
      <c r="S183" s="11"/>
      <c r="T183" s="11"/>
      <c r="U183" s="32" t="str">
        <f aca="false">IF((LEN(A183)+LEN(B183)+LEN(C183)+LEN(D183)+LEN(E183)+LEN(F183)+LEN(G183)+LEN(H183)+LEN(I183)+LEN(J183)+LEN(K183)+LEN(M183)+LEN(N183)+LEN(O183)+LEN(P183)+LEN(Q183)+LEN(R183)+LEN(S183)+LEN(T183))=0,"",IF(OR(A183="",B183="",C183="",D183="",E183="",J183="",K183="",N183=""),"⚠ Champ obligatoire manquant",IF(AND(ISNUMBER(K183),ISNUMBER(J183),N(K183)&gt;N(J183)),"⚠ Prix Autopiec &gt; prix public",IF(COUNTIFS($A$2:$A$1001,A183,$B$2:$B$1001,B183)&gt;1,"⚠ Référence en double","✔ OK"))))</f>
        <v/>
      </c>
    </row>
    <row r="184" customFormat="false" ht="15" hidden="false" customHeight="false" outlineLevel="0" collapsed="false">
      <c r="A184" s="11"/>
      <c r="B184" s="27"/>
      <c r="C184" s="11"/>
      <c r="D184" s="11"/>
      <c r="E184" s="11"/>
      <c r="F184" s="27"/>
      <c r="G184" s="27"/>
      <c r="H184" s="11"/>
      <c r="I184" s="11"/>
      <c r="J184" s="12"/>
      <c r="K184" s="12"/>
      <c r="L184" s="28" t="str">
        <f aca="false">IF(AND(ISNUMBER(J184),ISNUMBER(K184),N(J184)&gt;0),1-K184/J184,"")</f>
        <v/>
      </c>
      <c r="M184" s="29"/>
      <c r="N184" s="30"/>
      <c r="O184" s="30"/>
      <c r="P184" s="11"/>
      <c r="Q184" s="31"/>
      <c r="R184" s="11"/>
      <c r="S184" s="11"/>
      <c r="T184" s="11"/>
      <c r="U184" s="32" t="str">
        <f aca="false">IF((LEN(A184)+LEN(B184)+LEN(C184)+LEN(D184)+LEN(E184)+LEN(F184)+LEN(G184)+LEN(H184)+LEN(I184)+LEN(J184)+LEN(K184)+LEN(M184)+LEN(N184)+LEN(O184)+LEN(P184)+LEN(Q184)+LEN(R184)+LEN(S184)+LEN(T184))=0,"",IF(OR(A184="",B184="",C184="",D184="",E184="",J184="",K184="",N184=""),"⚠ Champ obligatoire manquant",IF(AND(ISNUMBER(K184),ISNUMBER(J184),N(K184)&gt;N(J184)),"⚠ Prix Autopiec &gt; prix public",IF(COUNTIFS($A$2:$A$1001,A184,$B$2:$B$1001,B184)&gt;1,"⚠ Référence en double","✔ OK"))))</f>
        <v/>
      </c>
    </row>
    <row r="185" customFormat="false" ht="15" hidden="false" customHeight="false" outlineLevel="0" collapsed="false">
      <c r="A185" s="11"/>
      <c r="B185" s="27"/>
      <c r="C185" s="11"/>
      <c r="D185" s="11"/>
      <c r="E185" s="11"/>
      <c r="F185" s="27"/>
      <c r="G185" s="27"/>
      <c r="H185" s="11"/>
      <c r="I185" s="11"/>
      <c r="J185" s="12"/>
      <c r="K185" s="12"/>
      <c r="L185" s="28" t="str">
        <f aca="false">IF(AND(ISNUMBER(J185),ISNUMBER(K185),N(J185)&gt;0),1-K185/J185,"")</f>
        <v/>
      </c>
      <c r="M185" s="29"/>
      <c r="N185" s="30"/>
      <c r="O185" s="30"/>
      <c r="P185" s="11"/>
      <c r="Q185" s="31"/>
      <c r="R185" s="11"/>
      <c r="S185" s="11"/>
      <c r="T185" s="11"/>
      <c r="U185" s="32" t="str">
        <f aca="false">IF((LEN(A185)+LEN(B185)+LEN(C185)+LEN(D185)+LEN(E185)+LEN(F185)+LEN(G185)+LEN(H185)+LEN(I185)+LEN(J185)+LEN(K185)+LEN(M185)+LEN(N185)+LEN(O185)+LEN(P185)+LEN(Q185)+LEN(R185)+LEN(S185)+LEN(T185))=0,"",IF(OR(A185="",B185="",C185="",D185="",E185="",J185="",K185="",N185=""),"⚠ Champ obligatoire manquant",IF(AND(ISNUMBER(K185),ISNUMBER(J185),N(K185)&gt;N(J185)),"⚠ Prix Autopiec &gt; prix public",IF(COUNTIFS($A$2:$A$1001,A185,$B$2:$B$1001,B185)&gt;1,"⚠ Référence en double","✔ OK"))))</f>
        <v/>
      </c>
    </row>
    <row r="186" customFormat="false" ht="15" hidden="false" customHeight="false" outlineLevel="0" collapsed="false">
      <c r="A186" s="11"/>
      <c r="B186" s="27"/>
      <c r="C186" s="11"/>
      <c r="D186" s="11"/>
      <c r="E186" s="11"/>
      <c r="F186" s="27"/>
      <c r="G186" s="27"/>
      <c r="H186" s="11"/>
      <c r="I186" s="11"/>
      <c r="J186" s="12"/>
      <c r="K186" s="12"/>
      <c r="L186" s="28" t="str">
        <f aca="false">IF(AND(ISNUMBER(J186),ISNUMBER(K186),N(J186)&gt;0),1-K186/J186,"")</f>
        <v/>
      </c>
      <c r="M186" s="29"/>
      <c r="N186" s="30"/>
      <c r="O186" s="30"/>
      <c r="P186" s="11"/>
      <c r="Q186" s="31"/>
      <c r="R186" s="11"/>
      <c r="S186" s="11"/>
      <c r="T186" s="11"/>
      <c r="U186" s="32" t="str">
        <f aca="false">IF((LEN(A186)+LEN(B186)+LEN(C186)+LEN(D186)+LEN(E186)+LEN(F186)+LEN(G186)+LEN(H186)+LEN(I186)+LEN(J186)+LEN(K186)+LEN(M186)+LEN(N186)+LEN(O186)+LEN(P186)+LEN(Q186)+LEN(R186)+LEN(S186)+LEN(T186))=0,"",IF(OR(A186="",B186="",C186="",D186="",E186="",J186="",K186="",N186=""),"⚠ Champ obligatoire manquant",IF(AND(ISNUMBER(K186),ISNUMBER(J186),N(K186)&gt;N(J186)),"⚠ Prix Autopiec &gt; prix public",IF(COUNTIFS($A$2:$A$1001,A186,$B$2:$B$1001,B186)&gt;1,"⚠ Référence en double","✔ OK"))))</f>
        <v/>
      </c>
    </row>
    <row r="187" customFormat="false" ht="15" hidden="false" customHeight="false" outlineLevel="0" collapsed="false">
      <c r="A187" s="11"/>
      <c r="B187" s="27"/>
      <c r="C187" s="11"/>
      <c r="D187" s="11"/>
      <c r="E187" s="11"/>
      <c r="F187" s="27"/>
      <c r="G187" s="27"/>
      <c r="H187" s="11"/>
      <c r="I187" s="11"/>
      <c r="J187" s="12"/>
      <c r="K187" s="12"/>
      <c r="L187" s="28" t="str">
        <f aca="false">IF(AND(ISNUMBER(J187),ISNUMBER(K187),N(J187)&gt;0),1-K187/J187,"")</f>
        <v/>
      </c>
      <c r="M187" s="29"/>
      <c r="N187" s="30"/>
      <c r="O187" s="30"/>
      <c r="P187" s="11"/>
      <c r="Q187" s="31"/>
      <c r="R187" s="11"/>
      <c r="S187" s="11"/>
      <c r="T187" s="11"/>
      <c r="U187" s="32" t="str">
        <f aca="false">IF((LEN(A187)+LEN(B187)+LEN(C187)+LEN(D187)+LEN(E187)+LEN(F187)+LEN(G187)+LEN(H187)+LEN(I187)+LEN(J187)+LEN(K187)+LEN(M187)+LEN(N187)+LEN(O187)+LEN(P187)+LEN(Q187)+LEN(R187)+LEN(S187)+LEN(T187))=0,"",IF(OR(A187="",B187="",C187="",D187="",E187="",J187="",K187="",N187=""),"⚠ Champ obligatoire manquant",IF(AND(ISNUMBER(K187),ISNUMBER(J187),N(K187)&gt;N(J187)),"⚠ Prix Autopiec &gt; prix public",IF(COUNTIFS($A$2:$A$1001,A187,$B$2:$B$1001,B187)&gt;1,"⚠ Référence en double","✔ OK"))))</f>
        <v/>
      </c>
    </row>
    <row r="188" customFormat="false" ht="15" hidden="false" customHeight="false" outlineLevel="0" collapsed="false">
      <c r="A188" s="11"/>
      <c r="B188" s="27"/>
      <c r="C188" s="11"/>
      <c r="D188" s="11"/>
      <c r="E188" s="11"/>
      <c r="F188" s="27"/>
      <c r="G188" s="27"/>
      <c r="H188" s="11"/>
      <c r="I188" s="11"/>
      <c r="J188" s="12"/>
      <c r="K188" s="12"/>
      <c r="L188" s="28" t="str">
        <f aca="false">IF(AND(ISNUMBER(J188),ISNUMBER(K188),N(J188)&gt;0),1-K188/J188,"")</f>
        <v/>
      </c>
      <c r="M188" s="29"/>
      <c r="N188" s="30"/>
      <c r="O188" s="30"/>
      <c r="P188" s="11"/>
      <c r="Q188" s="31"/>
      <c r="R188" s="11"/>
      <c r="S188" s="11"/>
      <c r="T188" s="11"/>
      <c r="U188" s="32" t="str">
        <f aca="false">IF((LEN(A188)+LEN(B188)+LEN(C188)+LEN(D188)+LEN(E188)+LEN(F188)+LEN(G188)+LEN(H188)+LEN(I188)+LEN(J188)+LEN(K188)+LEN(M188)+LEN(N188)+LEN(O188)+LEN(P188)+LEN(Q188)+LEN(R188)+LEN(S188)+LEN(T188))=0,"",IF(OR(A188="",B188="",C188="",D188="",E188="",J188="",K188="",N188=""),"⚠ Champ obligatoire manquant",IF(AND(ISNUMBER(K188),ISNUMBER(J188),N(K188)&gt;N(J188)),"⚠ Prix Autopiec &gt; prix public",IF(COUNTIFS($A$2:$A$1001,A188,$B$2:$B$1001,B188)&gt;1,"⚠ Référence en double","✔ OK"))))</f>
        <v/>
      </c>
    </row>
    <row r="189" customFormat="false" ht="15" hidden="false" customHeight="false" outlineLevel="0" collapsed="false">
      <c r="A189" s="11"/>
      <c r="B189" s="27"/>
      <c r="C189" s="11"/>
      <c r="D189" s="11"/>
      <c r="E189" s="11"/>
      <c r="F189" s="27"/>
      <c r="G189" s="27"/>
      <c r="H189" s="11"/>
      <c r="I189" s="11"/>
      <c r="J189" s="12"/>
      <c r="K189" s="12"/>
      <c r="L189" s="28" t="str">
        <f aca="false">IF(AND(ISNUMBER(J189),ISNUMBER(K189),N(J189)&gt;0),1-K189/J189,"")</f>
        <v/>
      </c>
      <c r="M189" s="29"/>
      <c r="N189" s="30"/>
      <c r="O189" s="30"/>
      <c r="P189" s="11"/>
      <c r="Q189" s="31"/>
      <c r="R189" s="11"/>
      <c r="S189" s="11"/>
      <c r="T189" s="11"/>
      <c r="U189" s="32" t="str">
        <f aca="false">IF((LEN(A189)+LEN(B189)+LEN(C189)+LEN(D189)+LEN(E189)+LEN(F189)+LEN(G189)+LEN(H189)+LEN(I189)+LEN(J189)+LEN(K189)+LEN(M189)+LEN(N189)+LEN(O189)+LEN(P189)+LEN(Q189)+LEN(R189)+LEN(S189)+LEN(T189))=0,"",IF(OR(A189="",B189="",C189="",D189="",E189="",J189="",K189="",N189=""),"⚠ Champ obligatoire manquant",IF(AND(ISNUMBER(K189),ISNUMBER(J189),N(K189)&gt;N(J189)),"⚠ Prix Autopiec &gt; prix public",IF(COUNTIFS($A$2:$A$1001,A189,$B$2:$B$1001,B189)&gt;1,"⚠ Référence en double","✔ OK"))))</f>
        <v/>
      </c>
    </row>
    <row r="190" customFormat="false" ht="15" hidden="false" customHeight="false" outlineLevel="0" collapsed="false">
      <c r="A190" s="11"/>
      <c r="B190" s="27"/>
      <c r="C190" s="11"/>
      <c r="D190" s="11"/>
      <c r="E190" s="11"/>
      <c r="F190" s="27"/>
      <c r="G190" s="27"/>
      <c r="H190" s="11"/>
      <c r="I190" s="11"/>
      <c r="J190" s="12"/>
      <c r="K190" s="12"/>
      <c r="L190" s="28" t="str">
        <f aca="false">IF(AND(ISNUMBER(J190),ISNUMBER(K190),N(J190)&gt;0),1-K190/J190,"")</f>
        <v/>
      </c>
      <c r="M190" s="29"/>
      <c r="N190" s="30"/>
      <c r="O190" s="30"/>
      <c r="P190" s="11"/>
      <c r="Q190" s="31"/>
      <c r="R190" s="11"/>
      <c r="S190" s="11"/>
      <c r="T190" s="11"/>
      <c r="U190" s="32" t="str">
        <f aca="false">IF((LEN(A190)+LEN(B190)+LEN(C190)+LEN(D190)+LEN(E190)+LEN(F190)+LEN(G190)+LEN(H190)+LEN(I190)+LEN(J190)+LEN(K190)+LEN(M190)+LEN(N190)+LEN(O190)+LEN(P190)+LEN(Q190)+LEN(R190)+LEN(S190)+LEN(T190))=0,"",IF(OR(A190="",B190="",C190="",D190="",E190="",J190="",K190="",N190=""),"⚠ Champ obligatoire manquant",IF(AND(ISNUMBER(K190),ISNUMBER(J190),N(K190)&gt;N(J190)),"⚠ Prix Autopiec &gt; prix public",IF(COUNTIFS($A$2:$A$1001,A190,$B$2:$B$1001,B190)&gt;1,"⚠ Référence en double","✔ OK"))))</f>
        <v/>
      </c>
    </row>
    <row r="191" customFormat="false" ht="15" hidden="false" customHeight="false" outlineLevel="0" collapsed="false">
      <c r="A191" s="11"/>
      <c r="B191" s="27"/>
      <c r="C191" s="11"/>
      <c r="D191" s="11"/>
      <c r="E191" s="11"/>
      <c r="F191" s="27"/>
      <c r="G191" s="27"/>
      <c r="H191" s="11"/>
      <c r="I191" s="11"/>
      <c r="J191" s="12"/>
      <c r="K191" s="12"/>
      <c r="L191" s="28" t="str">
        <f aca="false">IF(AND(ISNUMBER(J191),ISNUMBER(K191),N(J191)&gt;0),1-K191/J191,"")</f>
        <v/>
      </c>
      <c r="M191" s="29"/>
      <c r="N191" s="30"/>
      <c r="O191" s="30"/>
      <c r="P191" s="11"/>
      <c r="Q191" s="31"/>
      <c r="R191" s="11"/>
      <c r="S191" s="11"/>
      <c r="T191" s="11"/>
      <c r="U191" s="32" t="str">
        <f aca="false">IF((LEN(A191)+LEN(B191)+LEN(C191)+LEN(D191)+LEN(E191)+LEN(F191)+LEN(G191)+LEN(H191)+LEN(I191)+LEN(J191)+LEN(K191)+LEN(M191)+LEN(N191)+LEN(O191)+LEN(P191)+LEN(Q191)+LEN(R191)+LEN(S191)+LEN(T191))=0,"",IF(OR(A191="",B191="",C191="",D191="",E191="",J191="",K191="",N191=""),"⚠ Champ obligatoire manquant",IF(AND(ISNUMBER(K191),ISNUMBER(J191),N(K191)&gt;N(J191)),"⚠ Prix Autopiec &gt; prix public",IF(COUNTIFS($A$2:$A$1001,A191,$B$2:$B$1001,B191)&gt;1,"⚠ Référence en double","✔ OK"))))</f>
        <v/>
      </c>
    </row>
    <row r="192" customFormat="false" ht="15" hidden="false" customHeight="false" outlineLevel="0" collapsed="false">
      <c r="A192" s="11"/>
      <c r="B192" s="27"/>
      <c r="C192" s="11"/>
      <c r="D192" s="11"/>
      <c r="E192" s="11"/>
      <c r="F192" s="27"/>
      <c r="G192" s="27"/>
      <c r="H192" s="11"/>
      <c r="I192" s="11"/>
      <c r="J192" s="12"/>
      <c r="K192" s="12"/>
      <c r="L192" s="28" t="str">
        <f aca="false">IF(AND(ISNUMBER(J192),ISNUMBER(K192),N(J192)&gt;0),1-K192/J192,"")</f>
        <v/>
      </c>
      <c r="M192" s="29"/>
      <c r="N192" s="30"/>
      <c r="O192" s="30"/>
      <c r="P192" s="11"/>
      <c r="Q192" s="31"/>
      <c r="R192" s="11"/>
      <c r="S192" s="11"/>
      <c r="T192" s="11"/>
      <c r="U192" s="32" t="str">
        <f aca="false">IF((LEN(A192)+LEN(B192)+LEN(C192)+LEN(D192)+LEN(E192)+LEN(F192)+LEN(G192)+LEN(H192)+LEN(I192)+LEN(J192)+LEN(K192)+LEN(M192)+LEN(N192)+LEN(O192)+LEN(P192)+LEN(Q192)+LEN(R192)+LEN(S192)+LEN(T192))=0,"",IF(OR(A192="",B192="",C192="",D192="",E192="",J192="",K192="",N192=""),"⚠ Champ obligatoire manquant",IF(AND(ISNUMBER(K192),ISNUMBER(J192),N(K192)&gt;N(J192)),"⚠ Prix Autopiec &gt; prix public",IF(COUNTIFS($A$2:$A$1001,A192,$B$2:$B$1001,B192)&gt;1,"⚠ Référence en double","✔ OK"))))</f>
        <v/>
      </c>
    </row>
    <row r="193" customFormat="false" ht="15" hidden="false" customHeight="false" outlineLevel="0" collapsed="false">
      <c r="A193" s="11"/>
      <c r="B193" s="27"/>
      <c r="C193" s="11"/>
      <c r="D193" s="11"/>
      <c r="E193" s="11"/>
      <c r="F193" s="27"/>
      <c r="G193" s="27"/>
      <c r="H193" s="11"/>
      <c r="I193" s="11"/>
      <c r="J193" s="12"/>
      <c r="K193" s="12"/>
      <c r="L193" s="28" t="str">
        <f aca="false">IF(AND(ISNUMBER(J193),ISNUMBER(K193),N(J193)&gt;0),1-K193/J193,"")</f>
        <v/>
      </c>
      <c r="M193" s="29"/>
      <c r="N193" s="30"/>
      <c r="O193" s="30"/>
      <c r="P193" s="11"/>
      <c r="Q193" s="31"/>
      <c r="R193" s="11"/>
      <c r="S193" s="11"/>
      <c r="T193" s="11"/>
      <c r="U193" s="32" t="str">
        <f aca="false">IF((LEN(A193)+LEN(B193)+LEN(C193)+LEN(D193)+LEN(E193)+LEN(F193)+LEN(G193)+LEN(H193)+LEN(I193)+LEN(J193)+LEN(K193)+LEN(M193)+LEN(N193)+LEN(O193)+LEN(P193)+LEN(Q193)+LEN(R193)+LEN(S193)+LEN(T193))=0,"",IF(OR(A193="",B193="",C193="",D193="",E193="",J193="",K193="",N193=""),"⚠ Champ obligatoire manquant",IF(AND(ISNUMBER(K193),ISNUMBER(J193),N(K193)&gt;N(J193)),"⚠ Prix Autopiec &gt; prix public",IF(COUNTIFS($A$2:$A$1001,A193,$B$2:$B$1001,B193)&gt;1,"⚠ Référence en double","✔ OK"))))</f>
        <v/>
      </c>
    </row>
    <row r="194" customFormat="false" ht="15" hidden="false" customHeight="false" outlineLevel="0" collapsed="false">
      <c r="A194" s="11"/>
      <c r="B194" s="27"/>
      <c r="C194" s="11"/>
      <c r="D194" s="11"/>
      <c r="E194" s="11"/>
      <c r="F194" s="27"/>
      <c r="G194" s="27"/>
      <c r="H194" s="11"/>
      <c r="I194" s="11"/>
      <c r="J194" s="12"/>
      <c r="K194" s="12"/>
      <c r="L194" s="28" t="str">
        <f aca="false">IF(AND(ISNUMBER(J194),ISNUMBER(K194),N(J194)&gt;0),1-K194/J194,"")</f>
        <v/>
      </c>
      <c r="M194" s="29"/>
      <c r="N194" s="30"/>
      <c r="O194" s="30"/>
      <c r="P194" s="11"/>
      <c r="Q194" s="31"/>
      <c r="R194" s="11"/>
      <c r="S194" s="11"/>
      <c r="T194" s="11"/>
      <c r="U194" s="32" t="str">
        <f aca="false">IF((LEN(A194)+LEN(B194)+LEN(C194)+LEN(D194)+LEN(E194)+LEN(F194)+LEN(G194)+LEN(H194)+LEN(I194)+LEN(J194)+LEN(K194)+LEN(M194)+LEN(N194)+LEN(O194)+LEN(P194)+LEN(Q194)+LEN(R194)+LEN(S194)+LEN(T194))=0,"",IF(OR(A194="",B194="",C194="",D194="",E194="",J194="",K194="",N194=""),"⚠ Champ obligatoire manquant",IF(AND(ISNUMBER(K194),ISNUMBER(J194),N(K194)&gt;N(J194)),"⚠ Prix Autopiec &gt; prix public",IF(COUNTIFS($A$2:$A$1001,A194,$B$2:$B$1001,B194)&gt;1,"⚠ Référence en double","✔ OK"))))</f>
        <v/>
      </c>
    </row>
    <row r="195" customFormat="false" ht="15" hidden="false" customHeight="false" outlineLevel="0" collapsed="false">
      <c r="A195" s="11"/>
      <c r="B195" s="27"/>
      <c r="C195" s="11"/>
      <c r="D195" s="11"/>
      <c r="E195" s="11"/>
      <c r="F195" s="27"/>
      <c r="G195" s="27"/>
      <c r="H195" s="11"/>
      <c r="I195" s="11"/>
      <c r="J195" s="12"/>
      <c r="K195" s="12"/>
      <c r="L195" s="28" t="str">
        <f aca="false">IF(AND(ISNUMBER(J195),ISNUMBER(K195),N(J195)&gt;0),1-K195/J195,"")</f>
        <v/>
      </c>
      <c r="M195" s="29"/>
      <c r="N195" s="30"/>
      <c r="O195" s="30"/>
      <c r="P195" s="11"/>
      <c r="Q195" s="31"/>
      <c r="R195" s="11"/>
      <c r="S195" s="11"/>
      <c r="T195" s="11"/>
      <c r="U195" s="32" t="str">
        <f aca="false">IF((LEN(A195)+LEN(B195)+LEN(C195)+LEN(D195)+LEN(E195)+LEN(F195)+LEN(G195)+LEN(H195)+LEN(I195)+LEN(J195)+LEN(K195)+LEN(M195)+LEN(N195)+LEN(O195)+LEN(P195)+LEN(Q195)+LEN(R195)+LEN(S195)+LEN(T195))=0,"",IF(OR(A195="",B195="",C195="",D195="",E195="",J195="",K195="",N195=""),"⚠ Champ obligatoire manquant",IF(AND(ISNUMBER(K195),ISNUMBER(J195),N(K195)&gt;N(J195)),"⚠ Prix Autopiec &gt; prix public",IF(COUNTIFS($A$2:$A$1001,A195,$B$2:$B$1001,B195)&gt;1,"⚠ Référence en double","✔ OK"))))</f>
        <v/>
      </c>
    </row>
    <row r="196" customFormat="false" ht="15" hidden="false" customHeight="false" outlineLevel="0" collapsed="false">
      <c r="A196" s="11"/>
      <c r="B196" s="27"/>
      <c r="C196" s="11"/>
      <c r="D196" s="11"/>
      <c r="E196" s="11"/>
      <c r="F196" s="27"/>
      <c r="G196" s="27"/>
      <c r="H196" s="11"/>
      <c r="I196" s="11"/>
      <c r="J196" s="12"/>
      <c r="K196" s="12"/>
      <c r="L196" s="28" t="str">
        <f aca="false">IF(AND(ISNUMBER(J196),ISNUMBER(K196),N(J196)&gt;0),1-K196/J196,"")</f>
        <v/>
      </c>
      <c r="M196" s="29"/>
      <c r="N196" s="30"/>
      <c r="O196" s="30"/>
      <c r="P196" s="11"/>
      <c r="Q196" s="31"/>
      <c r="R196" s="11"/>
      <c r="S196" s="11"/>
      <c r="T196" s="11"/>
      <c r="U196" s="32" t="str">
        <f aca="false">IF((LEN(A196)+LEN(B196)+LEN(C196)+LEN(D196)+LEN(E196)+LEN(F196)+LEN(G196)+LEN(H196)+LEN(I196)+LEN(J196)+LEN(K196)+LEN(M196)+LEN(N196)+LEN(O196)+LEN(P196)+LEN(Q196)+LEN(R196)+LEN(S196)+LEN(T196))=0,"",IF(OR(A196="",B196="",C196="",D196="",E196="",J196="",K196="",N196=""),"⚠ Champ obligatoire manquant",IF(AND(ISNUMBER(K196),ISNUMBER(J196),N(K196)&gt;N(J196)),"⚠ Prix Autopiec &gt; prix public",IF(COUNTIFS($A$2:$A$1001,A196,$B$2:$B$1001,B196)&gt;1,"⚠ Référence en double","✔ OK"))))</f>
        <v/>
      </c>
    </row>
    <row r="197" customFormat="false" ht="15" hidden="false" customHeight="false" outlineLevel="0" collapsed="false">
      <c r="A197" s="11"/>
      <c r="B197" s="27"/>
      <c r="C197" s="11"/>
      <c r="D197" s="11"/>
      <c r="E197" s="11"/>
      <c r="F197" s="27"/>
      <c r="G197" s="27"/>
      <c r="H197" s="11"/>
      <c r="I197" s="11"/>
      <c r="J197" s="12"/>
      <c r="K197" s="12"/>
      <c r="L197" s="28" t="str">
        <f aca="false">IF(AND(ISNUMBER(J197),ISNUMBER(K197),N(J197)&gt;0),1-K197/J197,"")</f>
        <v/>
      </c>
      <c r="M197" s="29"/>
      <c r="N197" s="30"/>
      <c r="O197" s="30"/>
      <c r="P197" s="11"/>
      <c r="Q197" s="31"/>
      <c r="R197" s="11"/>
      <c r="S197" s="11"/>
      <c r="T197" s="11"/>
      <c r="U197" s="32" t="str">
        <f aca="false">IF((LEN(A197)+LEN(B197)+LEN(C197)+LEN(D197)+LEN(E197)+LEN(F197)+LEN(G197)+LEN(H197)+LEN(I197)+LEN(J197)+LEN(K197)+LEN(M197)+LEN(N197)+LEN(O197)+LEN(P197)+LEN(Q197)+LEN(R197)+LEN(S197)+LEN(T197))=0,"",IF(OR(A197="",B197="",C197="",D197="",E197="",J197="",K197="",N197=""),"⚠ Champ obligatoire manquant",IF(AND(ISNUMBER(K197),ISNUMBER(J197),N(K197)&gt;N(J197)),"⚠ Prix Autopiec &gt; prix public",IF(COUNTIFS($A$2:$A$1001,A197,$B$2:$B$1001,B197)&gt;1,"⚠ Référence en double","✔ OK"))))</f>
        <v/>
      </c>
    </row>
    <row r="198" customFormat="false" ht="15" hidden="false" customHeight="false" outlineLevel="0" collapsed="false">
      <c r="A198" s="11"/>
      <c r="B198" s="27"/>
      <c r="C198" s="11"/>
      <c r="D198" s="11"/>
      <c r="E198" s="11"/>
      <c r="F198" s="27"/>
      <c r="G198" s="27"/>
      <c r="H198" s="11"/>
      <c r="I198" s="11"/>
      <c r="J198" s="12"/>
      <c r="K198" s="12"/>
      <c r="L198" s="28" t="str">
        <f aca="false">IF(AND(ISNUMBER(J198),ISNUMBER(K198),N(J198)&gt;0),1-K198/J198,"")</f>
        <v/>
      </c>
      <c r="M198" s="29"/>
      <c r="N198" s="30"/>
      <c r="O198" s="30"/>
      <c r="P198" s="11"/>
      <c r="Q198" s="31"/>
      <c r="R198" s="11"/>
      <c r="S198" s="11"/>
      <c r="T198" s="11"/>
      <c r="U198" s="32" t="str">
        <f aca="false">IF((LEN(A198)+LEN(B198)+LEN(C198)+LEN(D198)+LEN(E198)+LEN(F198)+LEN(G198)+LEN(H198)+LEN(I198)+LEN(J198)+LEN(K198)+LEN(M198)+LEN(N198)+LEN(O198)+LEN(P198)+LEN(Q198)+LEN(R198)+LEN(S198)+LEN(T198))=0,"",IF(OR(A198="",B198="",C198="",D198="",E198="",J198="",K198="",N198=""),"⚠ Champ obligatoire manquant",IF(AND(ISNUMBER(K198),ISNUMBER(J198),N(K198)&gt;N(J198)),"⚠ Prix Autopiec &gt; prix public",IF(COUNTIFS($A$2:$A$1001,A198,$B$2:$B$1001,B198)&gt;1,"⚠ Référence en double","✔ OK"))))</f>
        <v/>
      </c>
    </row>
    <row r="199" customFormat="false" ht="15" hidden="false" customHeight="false" outlineLevel="0" collapsed="false">
      <c r="A199" s="11"/>
      <c r="B199" s="27"/>
      <c r="C199" s="11"/>
      <c r="D199" s="11"/>
      <c r="E199" s="11"/>
      <c r="F199" s="27"/>
      <c r="G199" s="27"/>
      <c r="H199" s="11"/>
      <c r="I199" s="11"/>
      <c r="J199" s="12"/>
      <c r="K199" s="12"/>
      <c r="L199" s="28" t="str">
        <f aca="false">IF(AND(ISNUMBER(J199),ISNUMBER(K199),N(J199)&gt;0),1-K199/J199,"")</f>
        <v/>
      </c>
      <c r="M199" s="29"/>
      <c r="N199" s="30"/>
      <c r="O199" s="30"/>
      <c r="P199" s="11"/>
      <c r="Q199" s="31"/>
      <c r="R199" s="11"/>
      <c r="S199" s="11"/>
      <c r="T199" s="11"/>
      <c r="U199" s="32" t="str">
        <f aca="false">IF((LEN(A199)+LEN(B199)+LEN(C199)+LEN(D199)+LEN(E199)+LEN(F199)+LEN(G199)+LEN(H199)+LEN(I199)+LEN(J199)+LEN(K199)+LEN(M199)+LEN(N199)+LEN(O199)+LEN(P199)+LEN(Q199)+LEN(R199)+LEN(S199)+LEN(T199))=0,"",IF(OR(A199="",B199="",C199="",D199="",E199="",J199="",K199="",N199=""),"⚠ Champ obligatoire manquant",IF(AND(ISNUMBER(K199),ISNUMBER(J199),N(K199)&gt;N(J199)),"⚠ Prix Autopiec &gt; prix public",IF(COUNTIFS($A$2:$A$1001,A199,$B$2:$B$1001,B199)&gt;1,"⚠ Référence en double","✔ OK"))))</f>
        <v/>
      </c>
    </row>
    <row r="200" customFormat="false" ht="15" hidden="false" customHeight="false" outlineLevel="0" collapsed="false">
      <c r="A200" s="11"/>
      <c r="B200" s="27"/>
      <c r="C200" s="11"/>
      <c r="D200" s="11"/>
      <c r="E200" s="11"/>
      <c r="F200" s="27"/>
      <c r="G200" s="27"/>
      <c r="H200" s="11"/>
      <c r="I200" s="11"/>
      <c r="J200" s="12"/>
      <c r="K200" s="12"/>
      <c r="L200" s="28" t="str">
        <f aca="false">IF(AND(ISNUMBER(J200),ISNUMBER(K200),N(J200)&gt;0),1-K200/J200,"")</f>
        <v/>
      </c>
      <c r="M200" s="29"/>
      <c r="N200" s="30"/>
      <c r="O200" s="30"/>
      <c r="P200" s="11"/>
      <c r="Q200" s="31"/>
      <c r="R200" s="11"/>
      <c r="S200" s="11"/>
      <c r="T200" s="11"/>
      <c r="U200" s="32" t="str">
        <f aca="false">IF((LEN(A200)+LEN(B200)+LEN(C200)+LEN(D200)+LEN(E200)+LEN(F200)+LEN(G200)+LEN(H200)+LEN(I200)+LEN(J200)+LEN(K200)+LEN(M200)+LEN(N200)+LEN(O200)+LEN(P200)+LEN(Q200)+LEN(R200)+LEN(S200)+LEN(T200))=0,"",IF(OR(A200="",B200="",C200="",D200="",E200="",J200="",K200="",N200=""),"⚠ Champ obligatoire manquant",IF(AND(ISNUMBER(K200),ISNUMBER(J200),N(K200)&gt;N(J200)),"⚠ Prix Autopiec &gt; prix public",IF(COUNTIFS($A$2:$A$1001,A200,$B$2:$B$1001,B200)&gt;1,"⚠ Référence en double","✔ OK"))))</f>
        <v/>
      </c>
    </row>
    <row r="201" customFormat="false" ht="15" hidden="false" customHeight="false" outlineLevel="0" collapsed="false">
      <c r="A201" s="11"/>
      <c r="B201" s="27"/>
      <c r="C201" s="11"/>
      <c r="D201" s="11"/>
      <c r="E201" s="11"/>
      <c r="F201" s="27"/>
      <c r="G201" s="27"/>
      <c r="H201" s="11"/>
      <c r="I201" s="11"/>
      <c r="J201" s="12"/>
      <c r="K201" s="12"/>
      <c r="L201" s="28" t="str">
        <f aca="false">IF(AND(ISNUMBER(J201),ISNUMBER(K201),N(J201)&gt;0),1-K201/J201,"")</f>
        <v/>
      </c>
      <c r="M201" s="29"/>
      <c r="N201" s="30"/>
      <c r="O201" s="30"/>
      <c r="P201" s="11"/>
      <c r="Q201" s="31"/>
      <c r="R201" s="11"/>
      <c r="S201" s="11"/>
      <c r="T201" s="11"/>
      <c r="U201" s="32" t="str">
        <f aca="false">IF((LEN(A201)+LEN(B201)+LEN(C201)+LEN(D201)+LEN(E201)+LEN(F201)+LEN(G201)+LEN(H201)+LEN(I201)+LEN(J201)+LEN(K201)+LEN(M201)+LEN(N201)+LEN(O201)+LEN(P201)+LEN(Q201)+LEN(R201)+LEN(S201)+LEN(T201))=0,"",IF(OR(A201="",B201="",C201="",D201="",E201="",J201="",K201="",N201=""),"⚠ Champ obligatoire manquant",IF(AND(ISNUMBER(K201),ISNUMBER(J201),N(K201)&gt;N(J201)),"⚠ Prix Autopiec &gt; prix public",IF(COUNTIFS($A$2:$A$1001,A201,$B$2:$B$1001,B201)&gt;1,"⚠ Référence en double","✔ OK"))))</f>
        <v/>
      </c>
    </row>
    <row r="202" customFormat="false" ht="15" hidden="false" customHeight="false" outlineLevel="0" collapsed="false">
      <c r="A202" s="11"/>
      <c r="B202" s="27"/>
      <c r="C202" s="11"/>
      <c r="D202" s="11"/>
      <c r="E202" s="11"/>
      <c r="F202" s="27"/>
      <c r="G202" s="27"/>
      <c r="H202" s="11"/>
      <c r="I202" s="11"/>
      <c r="J202" s="12"/>
      <c r="K202" s="12"/>
      <c r="L202" s="28" t="str">
        <f aca="false">IF(AND(ISNUMBER(J202),ISNUMBER(K202),N(J202)&gt;0),1-K202/J202,"")</f>
        <v/>
      </c>
      <c r="M202" s="29"/>
      <c r="N202" s="30"/>
      <c r="O202" s="30"/>
      <c r="P202" s="11"/>
      <c r="Q202" s="31"/>
      <c r="R202" s="11"/>
      <c r="S202" s="11"/>
      <c r="T202" s="11"/>
      <c r="U202" s="32" t="str">
        <f aca="false">IF((LEN(A202)+LEN(B202)+LEN(C202)+LEN(D202)+LEN(E202)+LEN(F202)+LEN(G202)+LEN(H202)+LEN(I202)+LEN(J202)+LEN(K202)+LEN(M202)+LEN(N202)+LEN(O202)+LEN(P202)+LEN(Q202)+LEN(R202)+LEN(S202)+LEN(T202))=0,"",IF(OR(A202="",B202="",C202="",D202="",E202="",J202="",K202="",N202=""),"⚠ Champ obligatoire manquant",IF(AND(ISNUMBER(K202),ISNUMBER(J202),N(K202)&gt;N(J202)),"⚠ Prix Autopiec &gt; prix public",IF(COUNTIFS($A$2:$A$1001,A202,$B$2:$B$1001,B202)&gt;1,"⚠ Référence en double","✔ OK"))))</f>
        <v/>
      </c>
    </row>
    <row r="203" customFormat="false" ht="15" hidden="false" customHeight="false" outlineLevel="0" collapsed="false">
      <c r="A203" s="11"/>
      <c r="B203" s="27"/>
      <c r="C203" s="11"/>
      <c r="D203" s="11"/>
      <c r="E203" s="11"/>
      <c r="F203" s="27"/>
      <c r="G203" s="27"/>
      <c r="H203" s="11"/>
      <c r="I203" s="11"/>
      <c r="J203" s="12"/>
      <c r="K203" s="12"/>
      <c r="L203" s="28" t="str">
        <f aca="false">IF(AND(ISNUMBER(J203),ISNUMBER(K203),N(J203)&gt;0),1-K203/J203,"")</f>
        <v/>
      </c>
      <c r="M203" s="29"/>
      <c r="N203" s="30"/>
      <c r="O203" s="30"/>
      <c r="P203" s="11"/>
      <c r="Q203" s="31"/>
      <c r="R203" s="11"/>
      <c r="S203" s="11"/>
      <c r="T203" s="11"/>
      <c r="U203" s="32" t="str">
        <f aca="false">IF((LEN(A203)+LEN(B203)+LEN(C203)+LEN(D203)+LEN(E203)+LEN(F203)+LEN(G203)+LEN(H203)+LEN(I203)+LEN(J203)+LEN(K203)+LEN(M203)+LEN(N203)+LEN(O203)+LEN(P203)+LEN(Q203)+LEN(R203)+LEN(S203)+LEN(T203))=0,"",IF(OR(A203="",B203="",C203="",D203="",E203="",J203="",K203="",N203=""),"⚠ Champ obligatoire manquant",IF(AND(ISNUMBER(K203),ISNUMBER(J203),N(K203)&gt;N(J203)),"⚠ Prix Autopiec &gt; prix public",IF(COUNTIFS($A$2:$A$1001,A203,$B$2:$B$1001,B203)&gt;1,"⚠ Référence en double","✔ OK"))))</f>
        <v/>
      </c>
    </row>
    <row r="204" customFormat="false" ht="15" hidden="false" customHeight="false" outlineLevel="0" collapsed="false">
      <c r="A204" s="11"/>
      <c r="B204" s="27"/>
      <c r="C204" s="11"/>
      <c r="D204" s="11"/>
      <c r="E204" s="11"/>
      <c r="F204" s="27"/>
      <c r="G204" s="27"/>
      <c r="H204" s="11"/>
      <c r="I204" s="11"/>
      <c r="J204" s="12"/>
      <c r="K204" s="12"/>
      <c r="L204" s="28" t="str">
        <f aca="false">IF(AND(ISNUMBER(J204),ISNUMBER(K204),N(J204)&gt;0),1-K204/J204,"")</f>
        <v/>
      </c>
      <c r="M204" s="29"/>
      <c r="N204" s="30"/>
      <c r="O204" s="30"/>
      <c r="P204" s="11"/>
      <c r="Q204" s="31"/>
      <c r="R204" s="11"/>
      <c r="S204" s="11"/>
      <c r="T204" s="11"/>
      <c r="U204" s="32" t="str">
        <f aca="false">IF((LEN(A204)+LEN(B204)+LEN(C204)+LEN(D204)+LEN(E204)+LEN(F204)+LEN(G204)+LEN(H204)+LEN(I204)+LEN(J204)+LEN(K204)+LEN(M204)+LEN(N204)+LEN(O204)+LEN(P204)+LEN(Q204)+LEN(R204)+LEN(S204)+LEN(T204))=0,"",IF(OR(A204="",B204="",C204="",D204="",E204="",J204="",K204="",N204=""),"⚠ Champ obligatoire manquant",IF(AND(ISNUMBER(K204),ISNUMBER(J204),N(K204)&gt;N(J204)),"⚠ Prix Autopiec &gt; prix public",IF(COUNTIFS($A$2:$A$1001,A204,$B$2:$B$1001,B204)&gt;1,"⚠ Référence en double","✔ OK"))))</f>
        <v/>
      </c>
    </row>
    <row r="205" customFormat="false" ht="15" hidden="false" customHeight="false" outlineLevel="0" collapsed="false">
      <c r="A205" s="11"/>
      <c r="B205" s="27"/>
      <c r="C205" s="11"/>
      <c r="D205" s="11"/>
      <c r="E205" s="11"/>
      <c r="F205" s="27"/>
      <c r="G205" s="27"/>
      <c r="H205" s="11"/>
      <c r="I205" s="11"/>
      <c r="J205" s="12"/>
      <c r="K205" s="12"/>
      <c r="L205" s="28" t="str">
        <f aca="false">IF(AND(ISNUMBER(J205),ISNUMBER(K205),N(J205)&gt;0),1-K205/J205,"")</f>
        <v/>
      </c>
      <c r="M205" s="29"/>
      <c r="N205" s="30"/>
      <c r="O205" s="30"/>
      <c r="P205" s="11"/>
      <c r="Q205" s="31"/>
      <c r="R205" s="11"/>
      <c r="S205" s="11"/>
      <c r="T205" s="11"/>
      <c r="U205" s="32" t="str">
        <f aca="false">IF((LEN(A205)+LEN(B205)+LEN(C205)+LEN(D205)+LEN(E205)+LEN(F205)+LEN(G205)+LEN(H205)+LEN(I205)+LEN(J205)+LEN(K205)+LEN(M205)+LEN(N205)+LEN(O205)+LEN(P205)+LEN(Q205)+LEN(R205)+LEN(S205)+LEN(T205))=0,"",IF(OR(A205="",B205="",C205="",D205="",E205="",J205="",K205="",N205=""),"⚠ Champ obligatoire manquant",IF(AND(ISNUMBER(K205),ISNUMBER(J205),N(K205)&gt;N(J205)),"⚠ Prix Autopiec &gt; prix public",IF(COUNTIFS($A$2:$A$1001,A205,$B$2:$B$1001,B205)&gt;1,"⚠ Référence en double","✔ OK"))))</f>
        <v/>
      </c>
    </row>
    <row r="206" customFormat="false" ht="15" hidden="false" customHeight="false" outlineLevel="0" collapsed="false">
      <c r="A206" s="11"/>
      <c r="B206" s="27"/>
      <c r="C206" s="11"/>
      <c r="D206" s="11"/>
      <c r="E206" s="11"/>
      <c r="F206" s="27"/>
      <c r="G206" s="27"/>
      <c r="H206" s="11"/>
      <c r="I206" s="11"/>
      <c r="J206" s="12"/>
      <c r="K206" s="12"/>
      <c r="L206" s="28" t="str">
        <f aca="false">IF(AND(ISNUMBER(J206),ISNUMBER(K206),N(J206)&gt;0),1-K206/J206,"")</f>
        <v/>
      </c>
      <c r="M206" s="29"/>
      <c r="N206" s="30"/>
      <c r="O206" s="30"/>
      <c r="P206" s="11"/>
      <c r="Q206" s="31"/>
      <c r="R206" s="11"/>
      <c r="S206" s="11"/>
      <c r="T206" s="11"/>
      <c r="U206" s="32" t="str">
        <f aca="false">IF((LEN(A206)+LEN(B206)+LEN(C206)+LEN(D206)+LEN(E206)+LEN(F206)+LEN(G206)+LEN(H206)+LEN(I206)+LEN(J206)+LEN(K206)+LEN(M206)+LEN(N206)+LEN(O206)+LEN(P206)+LEN(Q206)+LEN(R206)+LEN(S206)+LEN(T206))=0,"",IF(OR(A206="",B206="",C206="",D206="",E206="",J206="",K206="",N206=""),"⚠ Champ obligatoire manquant",IF(AND(ISNUMBER(K206),ISNUMBER(J206),N(K206)&gt;N(J206)),"⚠ Prix Autopiec &gt; prix public",IF(COUNTIFS($A$2:$A$1001,A206,$B$2:$B$1001,B206)&gt;1,"⚠ Référence en double","✔ OK"))))</f>
        <v/>
      </c>
    </row>
    <row r="207" customFormat="false" ht="15" hidden="false" customHeight="false" outlineLevel="0" collapsed="false">
      <c r="A207" s="11"/>
      <c r="B207" s="27"/>
      <c r="C207" s="11"/>
      <c r="D207" s="11"/>
      <c r="E207" s="11"/>
      <c r="F207" s="27"/>
      <c r="G207" s="27"/>
      <c r="H207" s="11"/>
      <c r="I207" s="11"/>
      <c r="J207" s="12"/>
      <c r="K207" s="12"/>
      <c r="L207" s="28" t="str">
        <f aca="false">IF(AND(ISNUMBER(J207),ISNUMBER(K207),N(J207)&gt;0),1-K207/J207,"")</f>
        <v/>
      </c>
      <c r="M207" s="29"/>
      <c r="N207" s="30"/>
      <c r="O207" s="30"/>
      <c r="P207" s="11"/>
      <c r="Q207" s="31"/>
      <c r="R207" s="11"/>
      <c r="S207" s="11"/>
      <c r="T207" s="11"/>
      <c r="U207" s="32" t="str">
        <f aca="false">IF((LEN(A207)+LEN(B207)+LEN(C207)+LEN(D207)+LEN(E207)+LEN(F207)+LEN(G207)+LEN(H207)+LEN(I207)+LEN(J207)+LEN(K207)+LEN(M207)+LEN(N207)+LEN(O207)+LEN(P207)+LEN(Q207)+LEN(R207)+LEN(S207)+LEN(T207))=0,"",IF(OR(A207="",B207="",C207="",D207="",E207="",J207="",K207="",N207=""),"⚠ Champ obligatoire manquant",IF(AND(ISNUMBER(K207),ISNUMBER(J207),N(K207)&gt;N(J207)),"⚠ Prix Autopiec &gt; prix public",IF(COUNTIFS($A$2:$A$1001,A207,$B$2:$B$1001,B207)&gt;1,"⚠ Référence en double","✔ OK"))))</f>
        <v/>
      </c>
    </row>
    <row r="208" customFormat="false" ht="15" hidden="false" customHeight="false" outlineLevel="0" collapsed="false">
      <c r="A208" s="11"/>
      <c r="B208" s="27"/>
      <c r="C208" s="11"/>
      <c r="D208" s="11"/>
      <c r="E208" s="11"/>
      <c r="F208" s="27"/>
      <c r="G208" s="27"/>
      <c r="H208" s="11"/>
      <c r="I208" s="11"/>
      <c r="J208" s="12"/>
      <c r="K208" s="12"/>
      <c r="L208" s="28" t="str">
        <f aca="false">IF(AND(ISNUMBER(J208),ISNUMBER(K208),N(J208)&gt;0),1-K208/J208,"")</f>
        <v/>
      </c>
      <c r="M208" s="29"/>
      <c r="N208" s="30"/>
      <c r="O208" s="30"/>
      <c r="P208" s="11"/>
      <c r="Q208" s="31"/>
      <c r="R208" s="11"/>
      <c r="S208" s="11"/>
      <c r="T208" s="11"/>
      <c r="U208" s="32" t="str">
        <f aca="false">IF((LEN(A208)+LEN(B208)+LEN(C208)+LEN(D208)+LEN(E208)+LEN(F208)+LEN(G208)+LEN(H208)+LEN(I208)+LEN(J208)+LEN(K208)+LEN(M208)+LEN(N208)+LEN(O208)+LEN(P208)+LEN(Q208)+LEN(R208)+LEN(S208)+LEN(T208))=0,"",IF(OR(A208="",B208="",C208="",D208="",E208="",J208="",K208="",N208=""),"⚠ Champ obligatoire manquant",IF(AND(ISNUMBER(K208),ISNUMBER(J208),N(K208)&gt;N(J208)),"⚠ Prix Autopiec &gt; prix public",IF(COUNTIFS($A$2:$A$1001,A208,$B$2:$B$1001,B208)&gt;1,"⚠ Référence en double","✔ OK"))))</f>
        <v/>
      </c>
    </row>
    <row r="209" customFormat="false" ht="15" hidden="false" customHeight="false" outlineLevel="0" collapsed="false">
      <c r="A209" s="11"/>
      <c r="B209" s="27"/>
      <c r="C209" s="11"/>
      <c r="D209" s="11"/>
      <c r="E209" s="11"/>
      <c r="F209" s="27"/>
      <c r="G209" s="27"/>
      <c r="H209" s="11"/>
      <c r="I209" s="11"/>
      <c r="J209" s="12"/>
      <c r="K209" s="12"/>
      <c r="L209" s="28" t="str">
        <f aca="false">IF(AND(ISNUMBER(J209),ISNUMBER(K209),N(J209)&gt;0),1-K209/J209,"")</f>
        <v/>
      </c>
      <c r="M209" s="29"/>
      <c r="N209" s="30"/>
      <c r="O209" s="30"/>
      <c r="P209" s="11"/>
      <c r="Q209" s="31"/>
      <c r="R209" s="11"/>
      <c r="S209" s="11"/>
      <c r="T209" s="11"/>
      <c r="U209" s="32" t="str">
        <f aca="false">IF((LEN(A209)+LEN(B209)+LEN(C209)+LEN(D209)+LEN(E209)+LEN(F209)+LEN(G209)+LEN(H209)+LEN(I209)+LEN(J209)+LEN(K209)+LEN(M209)+LEN(N209)+LEN(O209)+LEN(P209)+LEN(Q209)+LEN(R209)+LEN(S209)+LEN(T209))=0,"",IF(OR(A209="",B209="",C209="",D209="",E209="",J209="",K209="",N209=""),"⚠ Champ obligatoire manquant",IF(AND(ISNUMBER(K209),ISNUMBER(J209),N(K209)&gt;N(J209)),"⚠ Prix Autopiec &gt; prix public",IF(COUNTIFS($A$2:$A$1001,A209,$B$2:$B$1001,B209)&gt;1,"⚠ Référence en double","✔ OK"))))</f>
        <v/>
      </c>
    </row>
    <row r="210" customFormat="false" ht="15" hidden="false" customHeight="false" outlineLevel="0" collapsed="false">
      <c r="A210" s="11"/>
      <c r="B210" s="27"/>
      <c r="C210" s="11"/>
      <c r="D210" s="11"/>
      <c r="E210" s="11"/>
      <c r="F210" s="27"/>
      <c r="G210" s="27"/>
      <c r="H210" s="11"/>
      <c r="I210" s="11"/>
      <c r="J210" s="12"/>
      <c r="K210" s="12"/>
      <c r="L210" s="28" t="str">
        <f aca="false">IF(AND(ISNUMBER(J210),ISNUMBER(K210),N(J210)&gt;0),1-K210/J210,"")</f>
        <v/>
      </c>
      <c r="M210" s="29"/>
      <c r="N210" s="30"/>
      <c r="O210" s="30"/>
      <c r="P210" s="11"/>
      <c r="Q210" s="31"/>
      <c r="R210" s="11"/>
      <c r="S210" s="11"/>
      <c r="T210" s="11"/>
      <c r="U210" s="32" t="str">
        <f aca="false">IF((LEN(A210)+LEN(B210)+LEN(C210)+LEN(D210)+LEN(E210)+LEN(F210)+LEN(G210)+LEN(H210)+LEN(I210)+LEN(J210)+LEN(K210)+LEN(M210)+LEN(N210)+LEN(O210)+LEN(P210)+LEN(Q210)+LEN(R210)+LEN(S210)+LEN(T210))=0,"",IF(OR(A210="",B210="",C210="",D210="",E210="",J210="",K210="",N210=""),"⚠ Champ obligatoire manquant",IF(AND(ISNUMBER(K210),ISNUMBER(J210),N(K210)&gt;N(J210)),"⚠ Prix Autopiec &gt; prix public",IF(COUNTIFS($A$2:$A$1001,A210,$B$2:$B$1001,B210)&gt;1,"⚠ Référence en double","✔ OK"))))</f>
        <v/>
      </c>
    </row>
    <row r="211" customFormat="false" ht="15" hidden="false" customHeight="false" outlineLevel="0" collapsed="false">
      <c r="A211" s="11"/>
      <c r="B211" s="27"/>
      <c r="C211" s="11"/>
      <c r="D211" s="11"/>
      <c r="E211" s="11"/>
      <c r="F211" s="27"/>
      <c r="G211" s="27"/>
      <c r="H211" s="11"/>
      <c r="I211" s="11"/>
      <c r="J211" s="12"/>
      <c r="K211" s="12"/>
      <c r="L211" s="28" t="str">
        <f aca="false">IF(AND(ISNUMBER(J211),ISNUMBER(K211),N(J211)&gt;0),1-K211/J211,"")</f>
        <v/>
      </c>
      <c r="M211" s="29"/>
      <c r="N211" s="30"/>
      <c r="O211" s="30"/>
      <c r="P211" s="11"/>
      <c r="Q211" s="31"/>
      <c r="R211" s="11"/>
      <c r="S211" s="11"/>
      <c r="T211" s="11"/>
      <c r="U211" s="32" t="str">
        <f aca="false">IF((LEN(A211)+LEN(B211)+LEN(C211)+LEN(D211)+LEN(E211)+LEN(F211)+LEN(G211)+LEN(H211)+LEN(I211)+LEN(J211)+LEN(K211)+LEN(M211)+LEN(N211)+LEN(O211)+LEN(P211)+LEN(Q211)+LEN(R211)+LEN(S211)+LEN(T211))=0,"",IF(OR(A211="",B211="",C211="",D211="",E211="",J211="",K211="",N211=""),"⚠ Champ obligatoire manquant",IF(AND(ISNUMBER(K211),ISNUMBER(J211),N(K211)&gt;N(J211)),"⚠ Prix Autopiec &gt; prix public",IF(COUNTIFS($A$2:$A$1001,A211,$B$2:$B$1001,B211)&gt;1,"⚠ Référence en double","✔ OK"))))</f>
        <v/>
      </c>
    </row>
    <row r="212" customFormat="false" ht="15" hidden="false" customHeight="false" outlineLevel="0" collapsed="false">
      <c r="A212" s="11"/>
      <c r="B212" s="27"/>
      <c r="C212" s="11"/>
      <c r="D212" s="11"/>
      <c r="E212" s="11"/>
      <c r="F212" s="27"/>
      <c r="G212" s="27"/>
      <c r="H212" s="11"/>
      <c r="I212" s="11"/>
      <c r="J212" s="12"/>
      <c r="K212" s="12"/>
      <c r="L212" s="28" t="str">
        <f aca="false">IF(AND(ISNUMBER(J212),ISNUMBER(K212),N(J212)&gt;0),1-K212/J212,"")</f>
        <v/>
      </c>
      <c r="M212" s="29"/>
      <c r="N212" s="30"/>
      <c r="O212" s="30"/>
      <c r="P212" s="11"/>
      <c r="Q212" s="31"/>
      <c r="R212" s="11"/>
      <c r="S212" s="11"/>
      <c r="T212" s="11"/>
      <c r="U212" s="32" t="str">
        <f aca="false">IF((LEN(A212)+LEN(B212)+LEN(C212)+LEN(D212)+LEN(E212)+LEN(F212)+LEN(G212)+LEN(H212)+LEN(I212)+LEN(J212)+LEN(K212)+LEN(M212)+LEN(N212)+LEN(O212)+LEN(P212)+LEN(Q212)+LEN(R212)+LEN(S212)+LEN(T212))=0,"",IF(OR(A212="",B212="",C212="",D212="",E212="",J212="",K212="",N212=""),"⚠ Champ obligatoire manquant",IF(AND(ISNUMBER(K212),ISNUMBER(J212),N(K212)&gt;N(J212)),"⚠ Prix Autopiec &gt; prix public",IF(COUNTIFS($A$2:$A$1001,A212,$B$2:$B$1001,B212)&gt;1,"⚠ Référence en double","✔ OK"))))</f>
        <v/>
      </c>
    </row>
    <row r="213" customFormat="false" ht="15" hidden="false" customHeight="false" outlineLevel="0" collapsed="false">
      <c r="A213" s="11"/>
      <c r="B213" s="27"/>
      <c r="C213" s="11"/>
      <c r="D213" s="11"/>
      <c r="E213" s="11"/>
      <c r="F213" s="27"/>
      <c r="G213" s="27"/>
      <c r="H213" s="11"/>
      <c r="I213" s="11"/>
      <c r="J213" s="12"/>
      <c r="K213" s="12"/>
      <c r="L213" s="28" t="str">
        <f aca="false">IF(AND(ISNUMBER(J213),ISNUMBER(K213),N(J213)&gt;0),1-K213/J213,"")</f>
        <v/>
      </c>
      <c r="M213" s="29"/>
      <c r="N213" s="30"/>
      <c r="O213" s="30"/>
      <c r="P213" s="11"/>
      <c r="Q213" s="31"/>
      <c r="R213" s="11"/>
      <c r="S213" s="11"/>
      <c r="T213" s="11"/>
      <c r="U213" s="32" t="str">
        <f aca="false">IF((LEN(A213)+LEN(B213)+LEN(C213)+LEN(D213)+LEN(E213)+LEN(F213)+LEN(G213)+LEN(H213)+LEN(I213)+LEN(J213)+LEN(K213)+LEN(M213)+LEN(N213)+LEN(O213)+LEN(P213)+LEN(Q213)+LEN(R213)+LEN(S213)+LEN(T213))=0,"",IF(OR(A213="",B213="",C213="",D213="",E213="",J213="",K213="",N213=""),"⚠ Champ obligatoire manquant",IF(AND(ISNUMBER(K213),ISNUMBER(J213),N(K213)&gt;N(J213)),"⚠ Prix Autopiec &gt; prix public",IF(COUNTIFS($A$2:$A$1001,A213,$B$2:$B$1001,B213)&gt;1,"⚠ Référence en double","✔ OK"))))</f>
        <v/>
      </c>
    </row>
    <row r="214" customFormat="false" ht="15" hidden="false" customHeight="false" outlineLevel="0" collapsed="false">
      <c r="A214" s="11"/>
      <c r="B214" s="27"/>
      <c r="C214" s="11"/>
      <c r="D214" s="11"/>
      <c r="E214" s="11"/>
      <c r="F214" s="27"/>
      <c r="G214" s="27"/>
      <c r="H214" s="11"/>
      <c r="I214" s="11"/>
      <c r="J214" s="12"/>
      <c r="K214" s="12"/>
      <c r="L214" s="28" t="str">
        <f aca="false">IF(AND(ISNUMBER(J214),ISNUMBER(K214),N(J214)&gt;0),1-K214/J214,"")</f>
        <v/>
      </c>
      <c r="M214" s="29"/>
      <c r="N214" s="30"/>
      <c r="O214" s="30"/>
      <c r="P214" s="11"/>
      <c r="Q214" s="31"/>
      <c r="R214" s="11"/>
      <c r="S214" s="11"/>
      <c r="T214" s="11"/>
      <c r="U214" s="32" t="str">
        <f aca="false">IF((LEN(A214)+LEN(B214)+LEN(C214)+LEN(D214)+LEN(E214)+LEN(F214)+LEN(G214)+LEN(H214)+LEN(I214)+LEN(J214)+LEN(K214)+LEN(M214)+LEN(N214)+LEN(O214)+LEN(P214)+LEN(Q214)+LEN(R214)+LEN(S214)+LEN(T214))=0,"",IF(OR(A214="",B214="",C214="",D214="",E214="",J214="",K214="",N214=""),"⚠ Champ obligatoire manquant",IF(AND(ISNUMBER(K214),ISNUMBER(J214),N(K214)&gt;N(J214)),"⚠ Prix Autopiec &gt; prix public",IF(COUNTIFS($A$2:$A$1001,A214,$B$2:$B$1001,B214)&gt;1,"⚠ Référence en double","✔ OK"))))</f>
        <v/>
      </c>
    </row>
    <row r="215" customFormat="false" ht="15" hidden="false" customHeight="false" outlineLevel="0" collapsed="false">
      <c r="A215" s="11"/>
      <c r="B215" s="27"/>
      <c r="C215" s="11"/>
      <c r="D215" s="11"/>
      <c r="E215" s="11"/>
      <c r="F215" s="27"/>
      <c r="G215" s="27"/>
      <c r="H215" s="11"/>
      <c r="I215" s="11"/>
      <c r="J215" s="12"/>
      <c r="K215" s="12"/>
      <c r="L215" s="28" t="str">
        <f aca="false">IF(AND(ISNUMBER(J215),ISNUMBER(K215),N(J215)&gt;0),1-K215/J215,"")</f>
        <v/>
      </c>
      <c r="M215" s="29"/>
      <c r="N215" s="30"/>
      <c r="O215" s="30"/>
      <c r="P215" s="11"/>
      <c r="Q215" s="31"/>
      <c r="R215" s="11"/>
      <c r="S215" s="11"/>
      <c r="T215" s="11"/>
      <c r="U215" s="32" t="str">
        <f aca="false">IF((LEN(A215)+LEN(B215)+LEN(C215)+LEN(D215)+LEN(E215)+LEN(F215)+LEN(G215)+LEN(H215)+LEN(I215)+LEN(J215)+LEN(K215)+LEN(M215)+LEN(N215)+LEN(O215)+LEN(P215)+LEN(Q215)+LEN(R215)+LEN(S215)+LEN(T215))=0,"",IF(OR(A215="",B215="",C215="",D215="",E215="",J215="",K215="",N215=""),"⚠ Champ obligatoire manquant",IF(AND(ISNUMBER(K215),ISNUMBER(J215),N(K215)&gt;N(J215)),"⚠ Prix Autopiec &gt; prix public",IF(COUNTIFS($A$2:$A$1001,A215,$B$2:$B$1001,B215)&gt;1,"⚠ Référence en double","✔ OK"))))</f>
        <v/>
      </c>
    </row>
    <row r="216" customFormat="false" ht="15" hidden="false" customHeight="false" outlineLevel="0" collapsed="false">
      <c r="A216" s="11"/>
      <c r="B216" s="27"/>
      <c r="C216" s="11"/>
      <c r="D216" s="11"/>
      <c r="E216" s="11"/>
      <c r="F216" s="27"/>
      <c r="G216" s="27"/>
      <c r="H216" s="11"/>
      <c r="I216" s="11"/>
      <c r="J216" s="12"/>
      <c r="K216" s="12"/>
      <c r="L216" s="28" t="str">
        <f aca="false">IF(AND(ISNUMBER(J216),ISNUMBER(K216),N(J216)&gt;0),1-K216/J216,"")</f>
        <v/>
      </c>
      <c r="M216" s="29"/>
      <c r="N216" s="30"/>
      <c r="O216" s="30"/>
      <c r="P216" s="11"/>
      <c r="Q216" s="31"/>
      <c r="R216" s="11"/>
      <c r="S216" s="11"/>
      <c r="T216" s="11"/>
      <c r="U216" s="32" t="str">
        <f aca="false">IF((LEN(A216)+LEN(B216)+LEN(C216)+LEN(D216)+LEN(E216)+LEN(F216)+LEN(G216)+LEN(H216)+LEN(I216)+LEN(J216)+LEN(K216)+LEN(M216)+LEN(N216)+LEN(O216)+LEN(P216)+LEN(Q216)+LEN(R216)+LEN(S216)+LEN(T216))=0,"",IF(OR(A216="",B216="",C216="",D216="",E216="",J216="",K216="",N216=""),"⚠ Champ obligatoire manquant",IF(AND(ISNUMBER(K216),ISNUMBER(J216),N(K216)&gt;N(J216)),"⚠ Prix Autopiec &gt; prix public",IF(COUNTIFS($A$2:$A$1001,A216,$B$2:$B$1001,B216)&gt;1,"⚠ Référence en double","✔ OK"))))</f>
        <v/>
      </c>
    </row>
    <row r="217" customFormat="false" ht="15" hidden="false" customHeight="false" outlineLevel="0" collapsed="false">
      <c r="A217" s="11"/>
      <c r="B217" s="27"/>
      <c r="C217" s="11"/>
      <c r="D217" s="11"/>
      <c r="E217" s="11"/>
      <c r="F217" s="27"/>
      <c r="G217" s="27"/>
      <c r="H217" s="11"/>
      <c r="I217" s="11"/>
      <c r="J217" s="12"/>
      <c r="K217" s="12"/>
      <c r="L217" s="28" t="str">
        <f aca="false">IF(AND(ISNUMBER(J217),ISNUMBER(K217),N(J217)&gt;0),1-K217/J217,"")</f>
        <v/>
      </c>
      <c r="M217" s="29"/>
      <c r="N217" s="30"/>
      <c r="O217" s="30"/>
      <c r="P217" s="11"/>
      <c r="Q217" s="31"/>
      <c r="R217" s="11"/>
      <c r="S217" s="11"/>
      <c r="T217" s="11"/>
      <c r="U217" s="32" t="str">
        <f aca="false">IF((LEN(A217)+LEN(B217)+LEN(C217)+LEN(D217)+LEN(E217)+LEN(F217)+LEN(G217)+LEN(H217)+LEN(I217)+LEN(J217)+LEN(K217)+LEN(M217)+LEN(N217)+LEN(O217)+LEN(P217)+LEN(Q217)+LEN(R217)+LEN(S217)+LEN(T217))=0,"",IF(OR(A217="",B217="",C217="",D217="",E217="",J217="",K217="",N217=""),"⚠ Champ obligatoire manquant",IF(AND(ISNUMBER(K217),ISNUMBER(J217),N(K217)&gt;N(J217)),"⚠ Prix Autopiec &gt; prix public",IF(COUNTIFS($A$2:$A$1001,A217,$B$2:$B$1001,B217)&gt;1,"⚠ Référence en double","✔ OK"))))</f>
        <v/>
      </c>
    </row>
    <row r="218" customFormat="false" ht="15" hidden="false" customHeight="false" outlineLevel="0" collapsed="false">
      <c r="A218" s="11"/>
      <c r="B218" s="27"/>
      <c r="C218" s="11"/>
      <c r="D218" s="11"/>
      <c r="E218" s="11"/>
      <c r="F218" s="27"/>
      <c r="G218" s="27"/>
      <c r="H218" s="11"/>
      <c r="I218" s="11"/>
      <c r="J218" s="12"/>
      <c r="K218" s="12"/>
      <c r="L218" s="28" t="str">
        <f aca="false">IF(AND(ISNUMBER(J218),ISNUMBER(K218),N(J218)&gt;0),1-K218/J218,"")</f>
        <v/>
      </c>
      <c r="M218" s="29"/>
      <c r="N218" s="30"/>
      <c r="O218" s="30"/>
      <c r="P218" s="11"/>
      <c r="Q218" s="31"/>
      <c r="R218" s="11"/>
      <c r="S218" s="11"/>
      <c r="T218" s="11"/>
      <c r="U218" s="32" t="str">
        <f aca="false">IF((LEN(A218)+LEN(B218)+LEN(C218)+LEN(D218)+LEN(E218)+LEN(F218)+LEN(G218)+LEN(H218)+LEN(I218)+LEN(J218)+LEN(K218)+LEN(M218)+LEN(N218)+LEN(O218)+LEN(P218)+LEN(Q218)+LEN(R218)+LEN(S218)+LEN(T218))=0,"",IF(OR(A218="",B218="",C218="",D218="",E218="",J218="",K218="",N218=""),"⚠ Champ obligatoire manquant",IF(AND(ISNUMBER(K218),ISNUMBER(J218),N(K218)&gt;N(J218)),"⚠ Prix Autopiec &gt; prix public",IF(COUNTIFS($A$2:$A$1001,A218,$B$2:$B$1001,B218)&gt;1,"⚠ Référence en double","✔ OK"))))</f>
        <v/>
      </c>
    </row>
    <row r="219" customFormat="false" ht="15" hidden="false" customHeight="false" outlineLevel="0" collapsed="false">
      <c r="A219" s="11"/>
      <c r="B219" s="27"/>
      <c r="C219" s="11"/>
      <c r="D219" s="11"/>
      <c r="E219" s="11"/>
      <c r="F219" s="27"/>
      <c r="G219" s="27"/>
      <c r="H219" s="11"/>
      <c r="I219" s="11"/>
      <c r="J219" s="12"/>
      <c r="K219" s="12"/>
      <c r="L219" s="28" t="str">
        <f aca="false">IF(AND(ISNUMBER(J219),ISNUMBER(K219),N(J219)&gt;0),1-K219/J219,"")</f>
        <v/>
      </c>
      <c r="M219" s="29"/>
      <c r="N219" s="30"/>
      <c r="O219" s="30"/>
      <c r="P219" s="11"/>
      <c r="Q219" s="31"/>
      <c r="R219" s="11"/>
      <c r="S219" s="11"/>
      <c r="T219" s="11"/>
      <c r="U219" s="32" t="str">
        <f aca="false">IF((LEN(A219)+LEN(B219)+LEN(C219)+LEN(D219)+LEN(E219)+LEN(F219)+LEN(G219)+LEN(H219)+LEN(I219)+LEN(J219)+LEN(K219)+LEN(M219)+LEN(N219)+LEN(O219)+LEN(P219)+LEN(Q219)+LEN(R219)+LEN(S219)+LEN(T219))=0,"",IF(OR(A219="",B219="",C219="",D219="",E219="",J219="",K219="",N219=""),"⚠ Champ obligatoire manquant",IF(AND(ISNUMBER(K219),ISNUMBER(J219),N(K219)&gt;N(J219)),"⚠ Prix Autopiec &gt; prix public",IF(COUNTIFS($A$2:$A$1001,A219,$B$2:$B$1001,B219)&gt;1,"⚠ Référence en double","✔ OK"))))</f>
        <v/>
      </c>
    </row>
    <row r="220" customFormat="false" ht="15" hidden="false" customHeight="false" outlineLevel="0" collapsed="false">
      <c r="A220" s="11"/>
      <c r="B220" s="27"/>
      <c r="C220" s="11"/>
      <c r="D220" s="11"/>
      <c r="E220" s="11"/>
      <c r="F220" s="27"/>
      <c r="G220" s="27"/>
      <c r="H220" s="11"/>
      <c r="I220" s="11"/>
      <c r="J220" s="12"/>
      <c r="K220" s="12"/>
      <c r="L220" s="28" t="str">
        <f aca="false">IF(AND(ISNUMBER(J220),ISNUMBER(K220),N(J220)&gt;0),1-K220/J220,"")</f>
        <v/>
      </c>
      <c r="M220" s="29"/>
      <c r="N220" s="30"/>
      <c r="O220" s="30"/>
      <c r="P220" s="11"/>
      <c r="Q220" s="31"/>
      <c r="R220" s="11"/>
      <c r="S220" s="11"/>
      <c r="T220" s="11"/>
      <c r="U220" s="32" t="str">
        <f aca="false">IF((LEN(A220)+LEN(B220)+LEN(C220)+LEN(D220)+LEN(E220)+LEN(F220)+LEN(G220)+LEN(H220)+LEN(I220)+LEN(J220)+LEN(K220)+LEN(M220)+LEN(N220)+LEN(O220)+LEN(P220)+LEN(Q220)+LEN(R220)+LEN(S220)+LEN(T220))=0,"",IF(OR(A220="",B220="",C220="",D220="",E220="",J220="",K220="",N220=""),"⚠ Champ obligatoire manquant",IF(AND(ISNUMBER(K220),ISNUMBER(J220),N(K220)&gt;N(J220)),"⚠ Prix Autopiec &gt; prix public",IF(COUNTIFS($A$2:$A$1001,A220,$B$2:$B$1001,B220)&gt;1,"⚠ Référence en double","✔ OK"))))</f>
        <v/>
      </c>
    </row>
    <row r="221" customFormat="false" ht="15" hidden="false" customHeight="false" outlineLevel="0" collapsed="false">
      <c r="A221" s="11"/>
      <c r="B221" s="27"/>
      <c r="C221" s="11"/>
      <c r="D221" s="11"/>
      <c r="E221" s="11"/>
      <c r="F221" s="27"/>
      <c r="G221" s="27"/>
      <c r="H221" s="11"/>
      <c r="I221" s="11"/>
      <c r="J221" s="12"/>
      <c r="K221" s="12"/>
      <c r="L221" s="28" t="str">
        <f aca="false">IF(AND(ISNUMBER(J221),ISNUMBER(K221),N(J221)&gt;0),1-K221/J221,"")</f>
        <v/>
      </c>
      <c r="M221" s="29"/>
      <c r="N221" s="30"/>
      <c r="O221" s="30"/>
      <c r="P221" s="11"/>
      <c r="Q221" s="31"/>
      <c r="R221" s="11"/>
      <c r="S221" s="11"/>
      <c r="T221" s="11"/>
      <c r="U221" s="32" t="str">
        <f aca="false">IF((LEN(A221)+LEN(B221)+LEN(C221)+LEN(D221)+LEN(E221)+LEN(F221)+LEN(G221)+LEN(H221)+LEN(I221)+LEN(J221)+LEN(K221)+LEN(M221)+LEN(N221)+LEN(O221)+LEN(P221)+LEN(Q221)+LEN(R221)+LEN(S221)+LEN(T221))=0,"",IF(OR(A221="",B221="",C221="",D221="",E221="",J221="",K221="",N221=""),"⚠ Champ obligatoire manquant",IF(AND(ISNUMBER(K221),ISNUMBER(J221),N(K221)&gt;N(J221)),"⚠ Prix Autopiec &gt; prix public",IF(COUNTIFS($A$2:$A$1001,A221,$B$2:$B$1001,B221)&gt;1,"⚠ Référence en double","✔ OK"))))</f>
        <v/>
      </c>
    </row>
    <row r="222" customFormat="false" ht="15" hidden="false" customHeight="false" outlineLevel="0" collapsed="false">
      <c r="A222" s="11"/>
      <c r="B222" s="27"/>
      <c r="C222" s="11"/>
      <c r="D222" s="11"/>
      <c r="E222" s="11"/>
      <c r="F222" s="27"/>
      <c r="G222" s="27"/>
      <c r="H222" s="11"/>
      <c r="I222" s="11"/>
      <c r="J222" s="12"/>
      <c r="K222" s="12"/>
      <c r="L222" s="28" t="str">
        <f aca="false">IF(AND(ISNUMBER(J222),ISNUMBER(K222),N(J222)&gt;0),1-K222/J222,"")</f>
        <v/>
      </c>
      <c r="M222" s="29"/>
      <c r="N222" s="30"/>
      <c r="O222" s="30"/>
      <c r="P222" s="11"/>
      <c r="Q222" s="31"/>
      <c r="R222" s="11"/>
      <c r="S222" s="11"/>
      <c r="T222" s="11"/>
      <c r="U222" s="32" t="str">
        <f aca="false">IF((LEN(A222)+LEN(B222)+LEN(C222)+LEN(D222)+LEN(E222)+LEN(F222)+LEN(G222)+LEN(H222)+LEN(I222)+LEN(J222)+LEN(K222)+LEN(M222)+LEN(N222)+LEN(O222)+LEN(P222)+LEN(Q222)+LEN(R222)+LEN(S222)+LEN(T222))=0,"",IF(OR(A222="",B222="",C222="",D222="",E222="",J222="",K222="",N222=""),"⚠ Champ obligatoire manquant",IF(AND(ISNUMBER(K222),ISNUMBER(J222),N(K222)&gt;N(J222)),"⚠ Prix Autopiec &gt; prix public",IF(COUNTIFS($A$2:$A$1001,A222,$B$2:$B$1001,B222)&gt;1,"⚠ Référence en double","✔ OK"))))</f>
        <v/>
      </c>
    </row>
    <row r="223" customFormat="false" ht="15" hidden="false" customHeight="false" outlineLevel="0" collapsed="false">
      <c r="A223" s="11"/>
      <c r="B223" s="27"/>
      <c r="C223" s="11"/>
      <c r="D223" s="11"/>
      <c r="E223" s="11"/>
      <c r="F223" s="27"/>
      <c r="G223" s="27"/>
      <c r="H223" s="11"/>
      <c r="I223" s="11"/>
      <c r="J223" s="12"/>
      <c r="K223" s="12"/>
      <c r="L223" s="28" t="str">
        <f aca="false">IF(AND(ISNUMBER(J223),ISNUMBER(K223),N(J223)&gt;0),1-K223/J223,"")</f>
        <v/>
      </c>
      <c r="M223" s="29"/>
      <c r="N223" s="30"/>
      <c r="O223" s="30"/>
      <c r="P223" s="11"/>
      <c r="Q223" s="31"/>
      <c r="R223" s="11"/>
      <c r="S223" s="11"/>
      <c r="T223" s="11"/>
      <c r="U223" s="32" t="str">
        <f aca="false">IF((LEN(A223)+LEN(B223)+LEN(C223)+LEN(D223)+LEN(E223)+LEN(F223)+LEN(G223)+LEN(H223)+LEN(I223)+LEN(J223)+LEN(K223)+LEN(M223)+LEN(N223)+LEN(O223)+LEN(P223)+LEN(Q223)+LEN(R223)+LEN(S223)+LEN(T223))=0,"",IF(OR(A223="",B223="",C223="",D223="",E223="",J223="",K223="",N223=""),"⚠ Champ obligatoire manquant",IF(AND(ISNUMBER(K223),ISNUMBER(J223),N(K223)&gt;N(J223)),"⚠ Prix Autopiec &gt; prix public",IF(COUNTIFS($A$2:$A$1001,A223,$B$2:$B$1001,B223)&gt;1,"⚠ Référence en double","✔ OK"))))</f>
        <v/>
      </c>
    </row>
    <row r="224" customFormat="false" ht="15" hidden="false" customHeight="false" outlineLevel="0" collapsed="false">
      <c r="A224" s="11"/>
      <c r="B224" s="27"/>
      <c r="C224" s="11"/>
      <c r="D224" s="11"/>
      <c r="E224" s="11"/>
      <c r="F224" s="27"/>
      <c r="G224" s="27"/>
      <c r="H224" s="11"/>
      <c r="I224" s="11"/>
      <c r="J224" s="12"/>
      <c r="K224" s="12"/>
      <c r="L224" s="28" t="str">
        <f aca="false">IF(AND(ISNUMBER(J224),ISNUMBER(K224),N(J224)&gt;0),1-K224/J224,"")</f>
        <v/>
      </c>
      <c r="M224" s="29"/>
      <c r="N224" s="30"/>
      <c r="O224" s="30"/>
      <c r="P224" s="11"/>
      <c r="Q224" s="31"/>
      <c r="R224" s="11"/>
      <c r="S224" s="11"/>
      <c r="T224" s="11"/>
      <c r="U224" s="32" t="str">
        <f aca="false">IF((LEN(A224)+LEN(B224)+LEN(C224)+LEN(D224)+LEN(E224)+LEN(F224)+LEN(G224)+LEN(H224)+LEN(I224)+LEN(J224)+LEN(K224)+LEN(M224)+LEN(N224)+LEN(O224)+LEN(P224)+LEN(Q224)+LEN(R224)+LEN(S224)+LEN(T224))=0,"",IF(OR(A224="",B224="",C224="",D224="",E224="",J224="",K224="",N224=""),"⚠ Champ obligatoire manquant",IF(AND(ISNUMBER(K224),ISNUMBER(J224),N(K224)&gt;N(J224)),"⚠ Prix Autopiec &gt; prix public",IF(COUNTIFS($A$2:$A$1001,A224,$B$2:$B$1001,B224)&gt;1,"⚠ Référence en double","✔ OK"))))</f>
        <v/>
      </c>
    </row>
    <row r="225" customFormat="false" ht="15" hidden="false" customHeight="false" outlineLevel="0" collapsed="false">
      <c r="A225" s="11"/>
      <c r="B225" s="27"/>
      <c r="C225" s="11"/>
      <c r="D225" s="11"/>
      <c r="E225" s="11"/>
      <c r="F225" s="27"/>
      <c r="G225" s="27"/>
      <c r="H225" s="11"/>
      <c r="I225" s="11"/>
      <c r="J225" s="12"/>
      <c r="K225" s="12"/>
      <c r="L225" s="28" t="str">
        <f aca="false">IF(AND(ISNUMBER(J225),ISNUMBER(K225),N(J225)&gt;0),1-K225/J225,"")</f>
        <v/>
      </c>
      <c r="M225" s="29"/>
      <c r="N225" s="30"/>
      <c r="O225" s="30"/>
      <c r="P225" s="11"/>
      <c r="Q225" s="31"/>
      <c r="R225" s="11"/>
      <c r="S225" s="11"/>
      <c r="T225" s="11"/>
      <c r="U225" s="32" t="str">
        <f aca="false">IF((LEN(A225)+LEN(B225)+LEN(C225)+LEN(D225)+LEN(E225)+LEN(F225)+LEN(G225)+LEN(H225)+LEN(I225)+LEN(J225)+LEN(K225)+LEN(M225)+LEN(N225)+LEN(O225)+LEN(P225)+LEN(Q225)+LEN(R225)+LEN(S225)+LEN(T225))=0,"",IF(OR(A225="",B225="",C225="",D225="",E225="",J225="",K225="",N225=""),"⚠ Champ obligatoire manquant",IF(AND(ISNUMBER(K225),ISNUMBER(J225),N(K225)&gt;N(J225)),"⚠ Prix Autopiec &gt; prix public",IF(COUNTIFS($A$2:$A$1001,A225,$B$2:$B$1001,B225)&gt;1,"⚠ Référence en double","✔ OK"))))</f>
        <v/>
      </c>
    </row>
    <row r="226" customFormat="false" ht="15" hidden="false" customHeight="false" outlineLevel="0" collapsed="false">
      <c r="A226" s="11"/>
      <c r="B226" s="27"/>
      <c r="C226" s="11"/>
      <c r="D226" s="11"/>
      <c r="E226" s="11"/>
      <c r="F226" s="27"/>
      <c r="G226" s="27"/>
      <c r="H226" s="11"/>
      <c r="I226" s="11"/>
      <c r="J226" s="12"/>
      <c r="K226" s="12"/>
      <c r="L226" s="28" t="str">
        <f aca="false">IF(AND(ISNUMBER(J226),ISNUMBER(K226),N(J226)&gt;0),1-K226/J226,"")</f>
        <v/>
      </c>
      <c r="M226" s="29"/>
      <c r="N226" s="30"/>
      <c r="O226" s="30"/>
      <c r="P226" s="11"/>
      <c r="Q226" s="31"/>
      <c r="R226" s="11"/>
      <c r="S226" s="11"/>
      <c r="T226" s="11"/>
      <c r="U226" s="32" t="str">
        <f aca="false">IF((LEN(A226)+LEN(B226)+LEN(C226)+LEN(D226)+LEN(E226)+LEN(F226)+LEN(G226)+LEN(H226)+LEN(I226)+LEN(J226)+LEN(K226)+LEN(M226)+LEN(N226)+LEN(O226)+LEN(P226)+LEN(Q226)+LEN(R226)+LEN(S226)+LEN(T226))=0,"",IF(OR(A226="",B226="",C226="",D226="",E226="",J226="",K226="",N226=""),"⚠ Champ obligatoire manquant",IF(AND(ISNUMBER(K226),ISNUMBER(J226),N(K226)&gt;N(J226)),"⚠ Prix Autopiec &gt; prix public",IF(COUNTIFS($A$2:$A$1001,A226,$B$2:$B$1001,B226)&gt;1,"⚠ Référence en double","✔ OK"))))</f>
        <v/>
      </c>
    </row>
    <row r="227" customFormat="false" ht="15" hidden="false" customHeight="false" outlineLevel="0" collapsed="false">
      <c r="A227" s="11"/>
      <c r="B227" s="27"/>
      <c r="C227" s="11"/>
      <c r="D227" s="11"/>
      <c r="E227" s="11"/>
      <c r="F227" s="27"/>
      <c r="G227" s="27"/>
      <c r="H227" s="11"/>
      <c r="I227" s="11"/>
      <c r="J227" s="12"/>
      <c r="K227" s="12"/>
      <c r="L227" s="28" t="str">
        <f aca="false">IF(AND(ISNUMBER(J227),ISNUMBER(K227),N(J227)&gt;0),1-K227/J227,"")</f>
        <v/>
      </c>
      <c r="M227" s="29"/>
      <c r="N227" s="30"/>
      <c r="O227" s="30"/>
      <c r="P227" s="11"/>
      <c r="Q227" s="31"/>
      <c r="R227" s="11"/>
      <c r="S227" s="11"/>
      <c r="T227" s="11"/>
      <c r="U227" s="32" t="str">
        <f aca="false">IF((LEN(A227)+LEN(B227)+LEN(C227)+LEN(D227)+LEN(E227)+LEN(F227)+LEN(G227)+LEN(H227)+LEN(I227)+LEN(J227)+LEN(K227)+LEN(M227)+LEN(N227)+LEN(O227)+LEN(P227)+LEN(Q227)+LEN(R227)+LEN(S227)+LEN(T227))=0,"",IF(OR(A227="",B227="",C227="",D227="",E227="",J227="",K227="",N227=""),"⚠ Champ obligatoire manquant",IF(AND(ISNUMBER(K227),ISNUMBER(J227),N(K227)&gt;N(J227)),"⚠ Prix Autopiec &gt; prix public",IF(COUNTIFS($A$2:$A$1001,A227,$B$2:$B$1001,B227)&gt;1,"⚠ Référence en double","✔ OK"))))</f>
        <v/>
      </c>
    </row>
    <row r="228" customFormat="false" ht="15" hidden="false" customHeight="false" outlineLevel="0" collapsed="false">
      <c r="A228" s="11"/>
      <c r="B228" s="27"/>
      <c r="C228" s="11"/>
      <c r="D228" s="11"/>
      <c r="E228" s="11"/>
      <c r="F228" s="27"/>
      <c r="G228" s="27"/>
      <c r="H228" s="11"/>
      <c r="I228" s="11"/>
      <c r="J228" s="12"/>
      <c r="K228" s="12"/>
      <c r="L228" s="28" t="str">
        <f aca="false">IF(AND(ISNUMBER(J228),ISNUMBER(K228),N(J228)&gt;0),1-K228/J228,"")</f>
        <v/>
      </c>
      <c r="M228" s="29"/>
      <c r="N228" s="30"/>
      <c r="O228" s="30"/>
      <c r="P228" s="11"/>
      <c r="Q228" s="31"/>
      <c r="R228" s="11"/>
      <c r="S228" s="11"/>
      <c r="T228" s="11"/>
      <c r="U228" s="32" t="str">
        <f aca="false">IF((LEN(A228)+LEN(B228)+LEN(C228)+LEN(D228)+LEN(E228)+LEN(F228)+LEN(G228)+LEN(H228)+LEN(I228)+LEN(J228)+LEN(K228)+LEN(M228)+LEN(N228)+LEN(O228)+LEN(P228)+LEN(Q228)+LEN(R228)+LEN(S228)+LEN(T228))=0,"",IF(OR(A228="",B228="",C228="",D228="",E228="",J228="",K228="",N228=""),"⚠ Champ obligatoire manquant",IF(AND(ISNUMBER(K228),ISNUMBER(J228),N(K228)&gt;N(J228)),"⚠ Prix Autopiec &gt; prix public",IF(COUNTIFS($A$2:$A$1001,A228,$B$2:$B$1001,B228)&gt;1,"⚠ Référence en double","✔ OK"))))</f>
        <v/>
      </c>
    </row>
    <row r="229" customFormat="false" ht="15" hidden="false" customHeight="false" outlineLevel="0" collapsed="false">
      <c r="A229" s="11"/>
      <c r="B229" s="27"/>
      <c r="C229" s="11"/>
      <c r="D229" s="11"/>
      <c r="E229" s="11"/>
      <c r="F229" s="27"/>
      <c r="G229" s="27"/>
      <c r="H229" s="11"/>
      <c r="I229" s="11"/>
      <c r="J229" s="12"/>
      <c r="K229" s="12"/>
      <c r="L229" s="28" t="str">
        <f aca="false">IF(AND(ISNUMBER(J229),ISNUMBER(K229),N(J229)&gt;0),1-K229/J229,"")</f>
        <v/>
      </c>
      <c r="M229" s="29"/>
      <c r="N229" s="30"/>
      <c r="O229" s="30"/>
      <c r="P229" s="11"/>
      <c r="Q229" s="31"/>
      <c r="R229" s="11"/>
      <c r="S229" s="11"/>
      <c r="T229" s="11"/>
      <c r="U229" s="32" t="str">
        <f aca="false">IF((LEN(A229)+LEN(B229)+LEN(C229)+LEN(D229)+LEN(E229)+LEN(F229)+LEN(G229)+LEN(H229)+LEN(I229)+LEN(J229)+LEN(K229)+LEN(M229)+LEN(N229)+LEN(O229)+LEN(P229)+LEN(Q229)+LEN(R229)+LEN(S229)+LEN(T229))=0,"",IF(OR(A229="",B229="",C229="",D229="",E229="",J229="",K229="",N229=""),"⚠ Champ obligatoire manquant",IF(AND(ISNUMBER(K229),ISNUMBER(J229),N(K229)&gt;N(J229)),"⚠ Prix Autopiec &gt; prix public",IF(COUNTIFS($A$2:$A$1001,A229,$B$2:$B$1001,B229)&gt;1,"⚠ Référence en double","✔ OK"))))</f>
        <v/>
      </c>
    </row>
    <row r="230" customFormat="false" ht="15" hidden="false" customHeight="false" outlineLevel="0" collapsed="false">
      <c r="A230" s="11"/>
      <c r="B230" s="27"/>
      <c r="C230" s="11"/>
      <c r="D230" s="11"/>
      <c r="E230" s="11"/>
      <c r="F230" s="27"/>
      <c r="G230" s="27"/>
      <c r="H230" s="11"/>
      <c r="I230" s="11"/>
      <c r="J230" s="12"/>
      <c r="K230" s="12"/>
      <c r="L230" s="28" t="str">
        <f aca="false">IF(AND(ISNUMBER(J230),ISNUMBER(K230),N(J230)&gt;0),1-K230/J230,"")</f>
        <v/>
      </c>
      <c r="M230" s="29"/>
      <c r="N230" s="30"/>
      <c r="O230" s="30"/>
      <c r="P230" s="11"/>
      <c r="Q230" s="31"/>
      <c r="R230" s="11"/>
      <c r="S230" s="11"/>
      <c r="T230" s="11"/>
      <c r="U230" s="32" t="str">
        <f aca="false">IF((LEN(A230)+LEN(B230)+LEN(C230)+LEN(D230)+LEN(E230)+LEN(F230)+LEN(G230)+LEN(H230)+LEN(I230)+LEN(J230)+LEN(K230)+LEN(M230)+LEN(N230)+LEN(O230)+LEN(P230)+LEN(Q230)+LEN(R230)+LEN(S230)+LEN(T230))=0,"",IF(OR(A230="",B230="",C230="",D230="",E230="",J230="",K230="",N230=""),"⚠ Champ obligatoire manquant",IF(AND(ISNUMBER(K230),ISNUMBER(J230),N(K230)&gt;N(J230)),"⚠ Prix Autopiec &gt; prix public",IF(COUNTIFS($A$2:$A$1001,A230,$B$2:$B$1001,B230)&gt;1,"⚠ Référence en double","✔ OK"))))</f>
        <v/>
      </c>
    </row>
    <row r="231" customFormat="false" ht="15" hidden="false" customHeight="false" outlineLevel="0" collapsed="false">
      <c r="A231" s="11"/>
      <c r="B231" s="27"/>
      <c r="C231" s="11"/>
      <c r="D231" s="11"/>
      <c r="E231" s="11"/>
      <c r="F231" s="27"/>
      <c r="G231" s="27"/>
      <c r="H231" s="11"/>
      <c r="I231" s="11"/>
      <c r="J231" s="12"/>
      <c r="K231" s="12"/>
      <c r="L231" s="28" t="str">
        <f aca="false">IF(AND(ISNUMBER(J231),ISNUMBER(K231),N(J231)&gt;0),1-K231/J231,"")</f>
        <v/>
      </c>
      <c r="M231" s="29"/>
      <c r="N231" s="30"/>
      <c r="O231" s="30"/>
      <c r="P231" s="11"/>
      <c r="Q231" s="31"/>
      <c r="R231" s="11"/>
      <c r="S231" s="11"/>
      <c r="T231" s="11"/>
      <c r="U231" s="32" t="str">
        <f aca="false">IF((LEN(A231)+LEN(B231)+LEN(C231)+LEN(D231)+LEN(E231)+LEN(F231)+LEN(G231)+LEN(H231)+LEN(I231)+LEN(J231)+LEN(K231)+LEN(M231)+LEN(N231)+LEN(O231)+LEN(P231)+LEN(Q231)+LEN(R231)+LEN(S231)+LEN(T231))=0,"",IF(OR(A231="",B231="",C231="",D231="",E231="",J231="",K231="",N231=""),"⚠ Champ obligatoire manquant",IF(AND(ISNUMBER(K231),ISNUMBER(J231),N(K231)&gt;N(J231)),"⚠ Prix Autopiec &gt; prix public",IF(COUNTIFS($A$2:$A$1001,A231,$B$2:$B$1001,B231)&gt;1,"⚠ Référence en double","✔ OK"))))</f>
        <v/>
      </c>
    </row>
    <row r="232" customFormat="false" ht="15" hidden="false" customHeight="false" outlineLevel="0" collapsed="false">
      <c r="A232" s="11"/>
      <c r="B232" s="27"/>
      <c r="C232" s="11"/>
      <c r="D232" s="11"/>
      <c r="E232" s="11"/>
      <c r="F232" s="27"/>
      <c r="G232" s="27"/>
      <c r="H232" s="11"/>
      <c r="I232" s="11"/>
      <c r="J232" s="12"/>
      <c r="K232" s="12"/>
      <c r="L232" s="28" t="str">
        <f aca="false">IF(AND(ISNUMBER(J232),ISNUMBER(K232),N(J232)&gt;0),1-K232/J232,"")</f>
        <v/>
      </c>
      <c r="M232" s="29"/>
      <c r="N232" s="30"/>
      <c r="O232" s="30"/>
      <c r="P232" s="11"/>
      <c r="Q232" s="31"/>
      <c r="R232" s="11"/>
      <c r="S232" s="11"/>
      <c r="T232" s="11"/>
      <c r="U232" s="32" t="str">
        <f aca="false">IF((LEN(A232)+LEN(B232)+LEN(C232)+LEN(D232)+LEN(E232)+LEN(F232)+LEN(G232)+LEN(H232)+LEN(I232)+LEN(J232)+LEN(K232)+LEN(M232)+LEN(N232)+LEN(O232)+LEN(P232)+LEN(Q232)+LEN(R232)+LEN(S232)+LEN(T232))=0,"",IF(OR(A232="",B232="",C232="",D232="",E232="",J232="",K232="",N232=""),"⚠ Champ obligatoire manquant",IF(AND(ISNUMBER(K232),ISNUMBER(J232),N(K232)&gt;N(J232)),"⚠ Prix Autopiec &gt; prix public",IF(COUNTIFS($A$2:$A$1001,A232,$B$2:$B$1001,B232)&gt;1,"⚠ Référence en double","✔ OK"))))</f>
        <v/>
      </c>
    </row>
    <row r="233" customFormat="false" ht="15" hidden="false" customHeight="false" outlineLevel="0" collapsed="false">
      <c r="A233" s="11"/>
      <c r="B233" s="27"/>
      <c r="C233" s="11"/>
      <c r="D233" s="11"/>
      <c r="E233" s="11"/>
      <c r="F233" s="27"/>
      <c r="G233" s="27"/>
      <c r="H233" s="11"/>
      <c r="I233" s="11"/>
      <c r="J233" s="12"/>
      <c r="K233" s="12"/>
      <c r="L233" s="28" t="str">
        <f aca="false">IF(AND(ISNUMBER(J233),ISNUMBER(K233),N(J233)&gt;0),1-K233/J233,"")</f>
        <v/>
      </c>
      <c r="M233" s="29"/>
      <c r="N233" s="30"/>
      <c r="O233" s="30"/>
      <c r="P233" s="11"/>
      <c r="Q233" s="31"/>
      <c r="R233" s="11"/>
      <c r="S233" s="11"/>
      <c r="T233" s="11"/>
      <c r="U233" s="32" t="str">
        <f aca="false">IF((LEN(A233)+LEN(B233)+LEN(C233)+LEN(D233)+LEN(E233)+LEN(F233)+LEN(G233)+LEN(H233)+LEN(I233)+LEN(J233)+LEN(K233)+LEN(M233)+LEN(N233)+LEN(O233)+LEN(P233)+LEN(Q233)+LEN(R233)+LEN(S233)+LEN(T233))=0,"",IF(OR(A233="",B233="",C233="",D233="",E233="",J233="",K233="",N233=""),"⚠ Champ obligatoire manquant",IF(AND(ISNUMBER(K233),ISNUMBER(J233),N(K233)&gt;N(J233)),"⚠ Prix Autopiec &gt; prix public",IF(COUNTIFS($A$2:$A$1001,A233,$B$2:$B$1001,B233)&gt;1,"⚠ Référence en double","✔ OK"))))</f>
        <v/>
      </c>
    </row>
    <row r="234" customFormat="false" ht="15" hidden="false" customHeight="false" outlineLevel="0" collapsed="false">
      <c r="A234" s="11"/>
      <c r="B234" s="27"/>
      <c r="C234" s="11"/>
      <c r="D234" s="11"/>
      <c r="E234" s="11"/>
      <c r="F234" s="27"/>
      <c r="G234" s="27"/>
      <c r="H234" s="11"/>
      <c r="I234" s="11"/>
      <c r="J234" s="12"/>
      <c r="K234" s="12"/>
      <c r="L234" s="28" t="str">
        <f aca="false">IF(AND(ISNUMBER(J234),ISNUMBER(K234),N(J234)&gt;0),1-K234/J234,"")</f>
        <v/>
      </c>
      <c r="M234" s="29"/>
      <c r="N234" s="30"/>
      <c r="O234" s="30"/>
      <c r="P234" s="11"/>
      <c r="Q234" s="31"/>
      <c r="R234" s="11"/>
      <c r="S234" s="11"/>
      <c r="T234" s="11"/>
      <c r="U234" s="32" t="str">
        <f aca="false">IF((LEN(A234)+LEN(B234)+LEN(C234)+LEN(D234)+LEN(E234)+LEN(F234)+LEN(G234)+LEN(H234)+LEN(I234)+LEN(J234)+LEN(K234)+LEN(M234)+LEN(N234)+LEN(O234)+LEN(P234)+LEN(Q234)+LEN(R234)+LEN(S234)+LEN(T234))=0,"",IF(OR(A234="",B234="",C234="",D234="",E234="",J234="",K234="",N234=""),"⚠ Champ obligatoire manquant",IF(AND(ISNUMBER(K234),ISNUMBER(J234),N(K234)&gt;N(J234)),"⚠ Prix Autopiec &gt; prix public",IF(COUNTIFS($A$2:$A$1001,A234,$B$2:$B$1001,B234)&gt;1,"⚠ Référence en double","✔ OK"))))</f>
        <v/>
      </c>
    </row>
    <row r="235" customFormat="false" ht="15" hidden="false" customHeight="false" outlineLevel="0" collapsed="false">
      <c r="A235" s="11"/>
      <c r="B235" s="27"/>
      <c r="C235" s="11"/>
      <c r="D235" s="11"/>
      <c r="E235" s="11"/>
      <c r="F235" s="27"/>
      <c r="G235" s="27"/>
      <c r="H235" s="11"/>
      <c r="I235" s="11"/>
      <c r="J235" s="12"/>
      <c r="K235" s="12"/>
      <c r="L235" s="28" t="str">
        <f aca="false">IF(AND(ISNUMBER(J235),ISNUMBER(K235),N(J235)&gt;0),1-K235/J235,"")</f>
        <v/>
      </c>
      <c r="M235" s="29"/>
      <c r="N235" s="30"/>
      <c r="O235" s="30"/>
      <c r="P235" s="11"/>
      <c r="Q235" s="31"/>
      <c r="R235" s="11"/>
      <c r="S235" s="11"/>
      <c r="T235" s="11"/>
      <c r="U235" s="32" t="str">
        <f aca="false">IF((LEN(A235)+LEN(B235)+LEN(C235)+LEN(D235)+LEN(E235)+LEN(F235)+LEN(G235)+LEN(H235)+LEN(I235)+LEN(J235)+LEN(K235)+LEN(M235)+LEN(N235)+LEN(O235)+LEN(P235)+LEN(Q235)+LEN(R235)+LEN(S235)+LEN(T235))=0,"",IF(OR(A235="",B235="",C235="",D235="",E235="",J235="",K235="",N235=""),"⚠ Champ obligatoire manquant",IF(AND(ISNUMBER(K235),ISNUMBER(J235),N(K235)&gt;N(J235)),"⚠ Prix Autopiec &gt; prix public",IF(COUNTIFS($A$2:$A$1001,A235,$B$2:$B$1001,B235)&gt;1,"⚠ Référence en double","✔ OK"))))</f>
        <v/>
      </c>
    </row>
    <row r="236" customFormat="false" ht="15" hidden="false" customHeight="false" outlineLevel="0" collapsed="false">
      <c r="A236" s="11"/>
      <c r="B236" s="27"/>
      <c r="C236" s="11"/>
      <c r="D236" s="11"/>
      <c r="E236" s="11"/>
      <c r="F236" s="27"/>
      <c r="G236" s="27"/>
      <c r="H236" s="11"/>
      <c r="I236" s="11"/>
      <c r="J236" s="12"/>
      <c r="K236" s="12"/>
      <c r="L236" s="28" t="str">
        <f aca="false">IF(AND(ISNUMBER(J236),ISNUMBER(K236),N(J236)&gt;0),1-K236/J236,"")</f>
        <v/>
      </c>
      <c r="M236" s="29"/>
      <c r="N236" s="30"/>
      <c r="O236" s="30"/>
      <c r="P236" s="11"/>
      <c r="Q236" s="31"/>
      <c r="R236" s="11"/>
      <c r="S236" s="11"/>
      <c r="T236" s="11"/>
      <c r="U236" s="32" t="str">
        <f aca="false">IF((LEN(A236)+LEN(B236)+LEN(C236)+LEN(D236)+LEN(E236)+LEN(F236)+LEN(G236)+LEN(H236)+LEN(I236)+LEN(J236)+LEN(K236)+LEN(M236)+LEN(N236)+LEN(O236)+LEN(P236)+LEN(Q236)+LEN(R236)+LEN(S236)+LEN(T236))=0,"",IF(OR(A236="",B236="",C236="",D236="",E236="",J236="",K236="",N236=""),"⚠ Champ obligatoire manquant",IF(AND(ISNUMBER(K236),ISNUMBER(J236),N(K236)&gt;N(J236)),"⚠ Prix Autopiec &gt; prix public",IF(COUNTIFS($A$2:$A$1001,A236,$B$2:$B$1001,B236)&gt;1,"⚠ Référence en double","✔ OK"))))</f>
        <v/>
      </c>
    </row>
    <row r="237" customFormat="false" ht="15" hidden="false" customHeight="false" outlineLevel="0" collapsed="false">
      <c r="A237" s="11"/>
      <c r="B237" s="27"/>
      <c r="C237" s="11"/>
      <c r="D237" s="11"/>
      <c r="E237" s="11"/>
      <c r="F237" s="27"/>
      <c r="G237" s="27"/>
      <c r="H237" s="11"/>
      <c r="I237" s="11"/>
      <c r="J237" s="12"/>
      <c r="K237" s="12"/>
      <c r="L237" s="28" t="str">
        <f aca="false">IF(AND(ISNUMBER(J237),ISNUMBER(K237),N(J237)&gt;0),1-K237/J237,"")</f>
        <v/>
      </c>
      <c r="M237" s="29"/>
      <c r="N237" s="30"/>
      <c r="O237" s="30"/>
      <c r="P237" s="11"/>
      <c r="Q237" s="31"/>
      <c r="R237" s="11"/>
      <c r="S237" s="11"/>
      <c r="T237" s="11"/>
      <c r="U237" s="32" t="str">
        <f aca="false">IF((LEN(A237)+LEN(B237)+LEN(C237)+LEN(D237)+LEN(E237)+LEN(F237)+LEN(G237)+LEN(H237)+LEN(I237)+LEN(J237)+LEN(K237)+LEN(M237)+LEN(N237)+LEN(O237)+LEN(P237)+LEN(Q237)+LEN(R237)+LEN(S237)+LEN(T237))=0,"",IF(OR(A237="",B237="",C237="",D237="",E237="",J237="",K237="",N237=""),"⚠ Champ obligatoire manquant",IF(AND(ISNUMBER(K237),ISNUMBER(J237),N(K237)&gt;N(J237)),"⚠ Prix Autopiec &gt; prix public",IF(COUNTIFS($A$2:$A$1001,A237,$B$2:$B$1001,B237)&gt;1,"⚠ Référence en double","✔ OK"))))</f>
        <v/>
      </c>
    </row>
    <row r="238" customFormat="false" ht="15" hidden="false" customHeight="false" outlineLevel="0" collapsed="false">
      <c r="A238" s="11"/>
      <c r="B238" s="27"/>
      <c r="C238" s="11"/>
      <c r="D238" s="11"/>
      <c r="E238" s="11"/>
      <c r="F238" s="27"/>
      <c r="G238" s="27"/>
      <c r="H238" s="11"/>
      <c r="I238" s="11"/>
      <c r="J238" s="12"/>
      <c r="K238" s="12"/>
      <c r="L238" s="28" t="str">
        <f aca="false">IF(AND(ISNUMBER(J238),ISNUMBER(K238),N(J238)&gt;0),1-K238/J238,"")</f>
        <v/>
      </c>
      <c r="M238" s="29"/>
      <c r="N238" s="30"/>
      <c r="O238" s="30"/>
      <c r="P238" s="11"/>
      <c r="Q238" s="31"/>
      <c r="R238" s="11"/>
      <c r="S238" s="11"/>
      <c r="T238" s="11"/>
      <c r="U238" s="32" t="str">
        <f aca="false">IF((LEN(A238)+LEN(B238)+LEN(C238)+LEN(D238)+LEN(E238)+LEN(F238)+LEN(G238)+LEN(H238)+LEN(I238)+LEN(J238)+LEN(K238)+LEN(M238)+LEN(N238)+LEN(O238)+LEN(P238)+LEN(Q238)+LEN(R238)+LEN(S238)+LEN(T238))=0,"",IF(OR(A238="",B238="",C238="",D238="",E238="",J238="",K238="",N238=""),"⚠ Champ obligatoire manquant",IF(AND(ISNUMBER(K238),ISNUMBER(J238),N(K238)&gt;N(J238)),"⚠ Prix Autopiec &gt; prix public",IF(COUNTIFS($A$2:$A$1001,A238,$B$2:$B$1001,B238)&gt;1,"⚠ Référence en double","✔ OK"))))</f>
        <v/>
      </c>
    </row>
    <row r="239" customFormat="false" ht="15" hidden="false" customHeight="false" outlineLevel="0" collapsed="false">
      <c r="A239" s="11"/>
      <c r="B239" s="27"/>
      <c r="C239" s="11"/>
      <c r="D239" s="11"/>
      <c r="E239" s="11"/>
      <c r="F239" s="27"/>
      <c r="G239" s="27"/>
      <c r="H239" s="11"/>
      <c r="I239" s="11"/>
      <c r="J239" s="12"/>
      <c r="K239" s="12"/>
      <c r="L239" s="28" t="str">
        <f aca="false">IF(AND(ISNUMBER(J239),ISNUMBER(K239),N(J239)&gt;0),1-K239/J239,"")</f>
        <v/>
      </c>
      <c r="M239" s="29"/>
      <c r="N239" s="30"/>
      <c r="O239" s="30"/>
      <c r="P239" s="11"/>
      <c r="Q239" s="31"/>
      <c r="R239" s="11"/>
      <c r="S239" s="11"/>
      <c r="T239" s="11"/>
      <c r="U239" s="32" t="str">
        <f aca="false">IF((LEN(A239)+LEN(B239)+LEN(C239)+LEN(D239)+LEN(E239)+LEN(F239)+LEN(G239)+LEN(H239)+LEN(I239)+LEN(J239)+LEN(K239)+LEN(M239)+LEN(N239)+LEN(O239)+LEN(P239)+LEN(Q239)+LEN(R239)+LEN(S239)+LEN(T239))=0,"",IF(OR(A239="",B239="",C239="",D239="",E239="",J239="",K239="",N239=""),"⚠ Champ obligatoire manquant",IF(AND(ISNUMBER(K239),ISNUMBER(J239),N(K239)&gt;N(J239)),"⚠ Prix Autopiec &gt; prix public",IF(COUNTIFS($A$2:$A$1001,A239,$B$2:$B$1001,B239)&gt;1,"⚠ Référence en double","✔ OK"))))</f>
        <v/>
      </c>
    </row>
    <row r="240" customFormat="false" ht="15" hidden="false" customHeight="false" outlineLevel="0" collapsed="false">
      <c r="A240" s="11"/>
      <c r="B240" s="27"/>
      <c r="C240" s="11"/>
      <c r="D240" s="11"/>
      <c r="E240" s="11"/>
      <c r="F240" s="27"/>
      <c r="G240" s="27"/>
      <c r="H240" s="11"/>
      <c r="I240" s="11"/>
      <c r="J240" s="12"/>
      <c r="K240" s="12"/>
      <c r="L240" s="28" t="str">
        <f aca="false">IF(AND(ISNUMBER(J240),ISNUMBER(K240),N(J240)&gt;0),1-K240/J240,"")</f>
        <v/>
      </c>
      <c r="M240" s="29"/>
      <c r="N240" s="30"/>
      <c r="O240" s="30"/>
      <c r="P240" s="11"/>
      <c r="Q240" s="31"/>
      <c r="R240" s="11"/>
      <c r="S240" s="11"/>
      <c r="T240" s="11"/>
      <c r="U240" s="32" t="str">
        <f aca="false">IF((LEN(A240)+LEN(B240)+LEN(C240)+LEN(D240)+LEN(E240)+LEN(F240)+LEN(G240)+LEN(H240)+LEN(I240)+LEN(J240)+LEN(K240)+LEN(M240)+LEN(N240)+LEN(O240)+LEN(P240)+LEN(Q240)+LEN(R240)+LEN(S240)+LEN(T240))=0,"",IF(OR(A240="",B240="",C240="",D240="",E240="",J240="",K240="",N240=""),"⚠ Champ obligatoire manquant",IF(AND(ISNUMBER(K240),ISNUMBER(J240),N(K240)&gt;N(J240)),"⚠ Prix Autopiec &gt; prix public",IF(COUNTIFS($A$2:$A$1001,A240,$B$2:$B$1001,B240)&gt;1,"⚠ Référence en double","✔ OK"))))</f>
        <v/>
      </c>
    </row>
    <row r="241" customFormat="false" ht="15" hidden="false" customHeight="false" outlineLevel="0" collapsed="false">
      <c r="A241" s="11"/>
      <c r="B241" s="27"/>
      <c r="C241" s="11"/>
      <c r="D241" s="11"/>
      <c r="E241" s="11"/>
      <c r="F241" s="27"/>
      <c r="G241" s="27"/>
      <c r="H241" s="11"/>
      <c r="I241" s="11"/>
      <c r="J241" s="12"/>
      <c r="K241" s="12"/>
      <c r="L241" s="28" t="str">
        <f aca="false">IF(AND(ISNUMBER(J241),ISNUMBER(K241),N(J241)&gt;0),1-K241/J241,"")</f>
        <v/>
      </c>
      <c r="M241" s="29"/>
      <c r="N241" s="30"/>
      <c r="O241" s="30"/>
      <c r="P241" s="11"/>
      <c r="Q241" s="31"/>
      <c r="R241" s="11"/>
      <c r="S241" s="11"/>
      <c r="T241" s="11"/>
      <c r="U241" s="32" t="str">
        <f aca="false">IF((LEN(A241)+LEN(B241)+LEN(C241)+LEN(D241)+LEN(E241)+LEN(F241)+LEN(G241)+LEN(H241)+LEN(I241)+LEN(J241)+LEN(K241)+LEN(M241)+LEN(N241)+LEN(O241)+LEN(P241)+LEN(Q241)+LEN(R241)+LEN(S241)+LEN(T241))=0,"",IF(OR(A241="",B241="",C241="",D241="",E241="",J241="",K241="",N241=""),"⚠ Champ obligatoire manquant",IF(AND(ISNUMBER(K241),ISNUMBER(J241),N(K241)&gt;N(J241)),"⚠ Prix Autopiec &gt; prix public",IF(COUNTIFS($A$2:$A$1001,A241,$B$2:$B$1001,B241)&gt;1,"⚠ Référence en double","✔ OK"))))</f>
        <v/>
      </c>
    </row>
    <row r="242" customFormat="false" ht="15" hidden="false" customHeight="false" outlineLevel="0" collapsed="false">
      <c r="A242" s="11"/>
      <c r="B242" s="27"/>
      <c r="C242" s="11"/>
      <c r="D242" s="11"/>
      <c r="E242" s="11"/>
      <c r="F242" s="27"/>
      <c r="G242" s="27"/>
      <c r="H242" s="11"/>
      <c r="I242" s="11"/>
      <c r="J242" s="12"/>
      <c r="K242" s="12"/>
      <c r="L242" s="28" t="str">
        <f aca="false">IF(AND(ISNUMBER(J242),ISNUMBER(K242),N(J242)&gt;0),1-K242/J242,"")</f>
        <v/>
      </c>
      <c r="M242" s="29"/>
      <c r="N242" s="30"/>
      <c r="O242" s="30"/>
      <c r="P242" s="11"/>
      <c r="Q242" s="31"/>
      <c r="R242" s="11"/>
      <c r="S242" s="11"/>
      <c r="T242" s="11"/>
      <c r="U242" s="32" t="str">
        <f aca="false">IF((LEN(A242)+LEN(B242)+LEN(C242)+LEN(D242)+LEN(E242)+LEN(F242)+LEN(G242)+LEN(H242)+LEN(I242)+LEN(J242)+LEN(K242)+LEN(M242)+LEN(N242)+LEN(O242)+LEN(P242)+LEN(Q242)+LEN(R242)+LEN(S242)+LEN(T242))=0,"",IF(OR(A242="",B242="",C242="",D242="",E242="",J242="",K242="",N242=""),"⚠ Champ obligatoire manquant",IF(AND(ISNUMBER(K242),ISNUMBER(J242),N(K242)&gt;N(J242)),"⚠ Prix Autopiec &gt; prix public",IF(COUNTIFS($A$2:$A$1001,A242,$B$2:$B$1001,B242)&gt;1,"⚠ Référence en double","✔ OK"))))</f>
        <v/>
      </c>
    </row>
    <row r="243" customFormat="false" ht="15" hidden="false" customHeight="false" outlineLevel="0" collapsed="false">
      <c r="A243" s="11"/>
      <c r="B243" s="27"/>
      <c r="C243" s="11"/>
      <c r="D243" s="11"/>
      <c r="E243" s="11"/>
      <c r="F243" s="27"/>
      <c r="G243" s="27"/>
      <c r="H243" s="11"/>
      <c r="I243" s="11"/>
      <c r="J243" s="12"/>
      <c r="K243" s="12"/>
      <c r="L243" s="28" t="str">
        <f aca="false">IF(AND(ISNUMBER(J243),ISNUMBER(K243),N(J243)&gt;0),1-K243/J243,"")</f>
        <v/>
      </c>
      <c r="M243" s="29"/>
      <c r="N243" s="30"/>
      <c r="O243" s="30"/>
      <c r="P243" s="11"/>
      <c r="Q243" s="31"/>
      <c r="R243" s="11"/>
      <c r="S243" s="11"/>
      <c r="T243" s="11"/>
      <c r="U243" s="32" t="str">
        <f aca="false">IF((LEN(A243)+LEN(B243)+LEN(C243)+LEN(D243)+LEN(E243)+LEN(F243)+LEN(G243)+LEN(H243)+LEN(I243)+LEN(J243)+LEN(K243)+LEN(M243)+LEN(N243)+LEN(O243)+LEN(P243)+LEN(Q243)+LEN(R243)+LEN(S243)+LEN(T243))=0,"",IF(OR(A243="",B243="",C243="",D243="",E243="",J243="",K243="",N243=""),"⚠ Champ obligatoire manquant",IF(AND(ISNUMBER(K243),ISNUMBER(J243),N(K243)&gt;N(J243)),"⚠ Prix Autopiec &gt; prix public",IF(COUNTIFS($A$2:$A$1001,A243,$B$2:$B$1001,B243)&gt;1,"⚠ Référence en double","✔ OK"))))</f>
        <v/>
      </c>
    </row>
    <row r="244" customFormat="false" ht="15" hidden="false" customHeight="false" outlineLevel="0" collapsed="false">
      <c r="A244" s="11"/>
      <c r="B244" s="27"/>
      <c r="C244" s="11"/>
      <c r="D244" s="11"/>
      <c r="E244" s="11"/>
      <c r="F244" s="27"/>
      <c r="G244" s="27"/>
      <c r="H244" s="11"/>
      <c r="I244" s="11"/>
      <c r="J244" s="12"/>
      <c r="K244" s="12"/>
      <c r="L244" s="28" t="str">
        <f aca="false">IF(AND(ISNUMBER(J244),ISNUMBER(K244),N(J244)&gt;0),1-K244/J244,"")</f>
        <v/>
      </c>
      <c r="M244" s="29"/>
      <c r="N244" s="30"/>
      <c r="O244" s="30"/>
      <c r="P244" s="11"/>
      <c r="Q244" s="31"/>
      <c r="R244" s="11"/>
      <c r="S244" s="11"/>
      <c r="T244" s="11"/>
      <c r="U244" s="32" t="str">
        <f aca="false">IF((LEN(A244)+LEN(B244)+LEN(C244)+LEN(D244)+LEN(E244)+LEN(F244)+LEN(G244)+LEN(H244)+LEN(I244)+LEN(J244)+LEN(K244)+LEN(M244)+LEN(N244)+LEN(O244)+LEN(P244)+LEN(Q244)+LEN(R244)+LEN(S244)+LEN(T244))=0,"",IF(OR(A244="",B244="",C244="",D244="",E244="",J244="",K244="",N244=""),"⚠ Champ obligatoire manquant",IF(AND(ISNUMBER(K244),ISNUMBER(J244),N(K244)&gt;N(J244)),"⚠ Prix Autopiec &gt; prix public",IF(COUNTIFS($A$2:$A$1001,A244,$B$2:$B$1001,B244)&gt;1,"⚠ Référence en double","✔ OK"))))</f>
        <v/>
      </c>
    </row>
    <row r="245" customFormat="false" ht="15" hidden="false" customHeight="false" outlineLevel="0" collapsed="false">
      <c r="A245" s="11"/>
      <c r="B245" s="27"/>
      <c r="C245" s="11"/>
      <c r="D245" s="11"/>
      <c r="E245" s="11"/>
      <c r="F245" s="27"/>
      <c r="G245" s="27"/>
      <c r="H245" s="11"/>
      <c r="I245" s="11"/>
      <c r="J245" s="12"/>
      <c r="K245" s="12"/>
      <c r="L245" s="28" t="str">
        <f aca="false">IF(AND(ISNUMBER(J245),ISNUMBER(K245),N(J245)&gt;0),1-K245/J245,"")</f>
        <v/>
      </c>
      <c r="M245" s="29"/>
      <c r="N245" s="30"/>
      <c r="O245" s="30"/>
      <c r="P245" s="11"/>
      <c r="Q245" s="31"/>
      <c r="R245" s="11"/>
      <c r="S245" s="11"/>
      <c r="T245" s="11"/>
      <c r="U245" s="32" t="str">
        <f aca="false">IF((LEN(A245)+LEN(B245)+LEN(C245)+LEN(D245)+LEN(E245)+LEN(F245)+LEN(G245)+LEN(H245)+LEN(I245)+LEN(J245)+LEN(K245)+LEN(M245)+LEN(N245)+LEN(O245)+LEN(P245)+LEN(Q245)+LEN(R245)+LEN(S245)+LEN(T245))=0,"",IF(OR(A245="",B245="",C245="",D245="",E245="",J245="",K245="",N245=""),"⚠ Champ obligatoire manquant",IF(AND(ISNUMBER(K245),ISNUMBER(J245),N(K245)&gt;N(J245)),"⚠ Prix Autopiec &gt; prix public",IF(COUNTIFS($A$2:$A$1001,A245,$B$2:$B$1001,B245)&gt;1,"⚠ Référence en double","✔ OK"))))</f>
        <v/>
      </c>
    </row>
    <row r="246" customFormat="false" ht="15" hidden="false" customHeight="false" outlineLevel="0" collapsed="false">
      <c r="A246" s="11"/>
      <c r="B246" s="27"/>
      <c r="C246" s="11"/>
      <c r="D246" s="11"/>
      <c r="E246" s="11"/>
      <c r="F246" s="27"/>
      <c r="G246" s="27"/>
      <c r="H246" s="11"/>
      <c r="I246" s="11"/>
      <c r="J246" s="12"/>
      <c r="K246" s="12"/>
      <c r="L246" s="28" t="str">
        <f aca="false">IF(AND(ISNUMBER(J246),ISNUMBER(K246),N(J246)&gt;0),1-K246/J246,"")</f>
        <v/>
      </c>
      <c r="M246" s="29"/>
      <c r="N246" s="30"/>
      <c r="O246" s="30"/>
      <c r="P246" s="11"/>
      <c r="Q246" s="31"/>
      <c r="R246" s="11"/>
      <c r="S246" s="11"/>
      <c r="T246" s="11"/>
      <c r="U246" s="32" t="str">
        <f aca="false">IF((LEN(A246)+LEN(B246)+LEN(C246)+LEN(D246)+LEN(E246)+LEN(F246)+LEN(G246)+LEN(H246)+LEN(I246)+LEN(J246)+LEN(K246)+LEN(M246)+LEN(N246)+LEN(O246)+LEN(P246)+LEN(Q246)+LEN(R246)+LEN(S246)+LEN(T246))=0,"",IF(OR(A246="",B246="",C246="",D246="",E246="",J246="",K246="",N246=""),"⚠ Champ obligatoire manquant",IF(AND(ISNUMBER(K246),ISNUMBER(J246),N(K246)&gt;N(J246)),"⚠ Prix Autopiec &gt; prix public",IF(COUNTIFS($A$2:$A$1001,A246,$B$2:$B$1001,B246)&gt;1,"⚠ Référence en double","✔ OK"))))</f>
        <v/>
      </c>
    </row>
    <row r="247" customFormat="false" ht="15" hidden="false" customHeight="false" outlineLevel="0" collapsed="false">
      <c r="A247" s="11"/>
      <c r="B247" s="27"/>
      <c r="C247" s="11"/>
      <c r="D247" s="11"/>
      <c r="E247" s="11"/>
      <c r="F247" s="27"/>
      <c r="G247" s="27"/>
      <c r="H247" s="11"/>
      <c r="I247" s="11"/>
      <c r="J247" s="12"/>
      <c r="K247" s="12"/>
      <c r="L247" s="28" t="str">
        <f aca="false">IF(AND(ISNUMBER(J247),ISNUMBER(K247),N(J247)&gt;0),1-K247/J247,"")</f>
        <v/>
      </c>
      <c r="M247" s="29"/>
      <c r="N247" s="30"/>
      <c r="O247" s="30"/>
      <c r="P247" s="11"/>
      <c r="Q247" s="31"/>
      <c r="R247" s="11"/>
      <c r="S247" s="11"/>
      <c r="T247" s="11"/>
      <c r="U247" s="32" t="str">
        <f aca="false">IF((LEN(A247)+LEN(B247)+LEN(C247)+LEN(D247)+LEN(E247)+LEN(F247)+LEN(G247)+LEN(H247)+LEN(I247)+LEN(J247)+LEN(K247)+LEN(M247)+LEN(N247)+LEN(O247)+LEN(P247)+LEN(Q247)+LEN(R247)+LEN(S247)+LEN(T247))=0,"",IF(OR(A247="",B247="",C247="",D247="",E247="",J247="",K247="",N247=""),"⚠ Champ obligatoire manquant",IF(AND(ISNUMBER(K247),ISNUMBER(J247),N(K247)&gt;N(J247)),"⚠ Prix Autopiec &gt; prix public",IF(COUNTIFS($A$2:$A$1001,A247,$B$2:$B$1001,B247)&gt;1,"⚠ Référence en double","✔ OK"))))</f>
        <v/>
      </c>
    </row>
    <row r="248" customFormat="false" ht="15" hidden="false" customHeight="false" outlineLevel="0" collapsed="false">
      <c r="A248" s="11"/>
      <c r="B248" s="27"/>
      <c r="C248" s="11"/>
      <c r="D248" s="11"/>
      <c r="E248" s="11"/>
      <c r="F248" s="27"/>
      <c r="G248" s="27"/>
      <c r="H248" s="11"/>
      <c r="I248" s="11"/>
      <c r="J248" s="12"/>
      <c r="K248" s="12"/>
      <c r="L248" s="28" t="str">
        <f aca="false">IF(AND(ISNUMBER(J248),ISNUMBER(K248),N(J248)&gt;0),1-K248/J248,"")</f>
        <v/>
      </c>
      <c r="M248" s="29"/>
      <c r="N248" s="30"/>
      <c r="O248" s="30"/>
      <c r="P248" s="11"/>
      <c r="Q248" s="31"/>
      <c r="R248" s="11"/>
      <c r="S248" s="11"/>
      <c r="T248" s="11"/>
      <c r="U248" s="32" t="str">
        <f aca="false">IF((LEN(A248)+LEN(B248)+LEN(C248)+LEN(D248)+LEN(E248)+LEN(F248)+LEN(G248)+LEN(H248)+LEN(I248)+LEN(J248)+LEN(K248)+LEN(M248)+LEN(N248)+LEN(O248)+LEN(P248)+LEN(Q248)+LEN(R248)+LEN(S248)+LEN(T248))=0,"",IF(OR(A248="",B248="",C248="",D248="",E248="",J248="",K248="",N248=""),"⚠ Champ obligatoire manquant",IF(AND(ISNUMBER(K248),ISNUMBER(J248),N(K248)&gt;N(J248)),"⚠ Prix Autopiec &gt; prix public",IF(COUNTIFS($A$2:$A$1001,A248,$B$2:$B$1001,B248)&gt;1,"⚠ Référence en double","✔ OK"))))</f>
        <v/>
      </c>
    </row>
    <row r="249" customFormat="false" ht="15" hidden="false" customHeight="false" outlineLevel="0" collapsed="false">
      <c r="A249" s="11"/>
      <c r="B249" s="27"/>
      <c r="C249" s="11"/>
      <c r="D249" s="11"/>
      <c r="E249" s="11"/>
      <c r="F249" s="27"/>
      <c r="G249" s="27"/>
      <c r="H249" s="11"/>
      <c r="I249" s="11"/>
      <c r="J249" s="12"/>
      <c r="K249" s="12"/>
      <c r="L249" s="28" t="str">
        <f aca="false">IF(AND(ISNUMBER(J249),ISNUMBER(K249),N(J249)&gt;0),1-K249/J249,"")</f>
        <v/>
      </c>
      <c r="M249" s="29"/>
      <c r="N249" s="30"/>
      <c r="O249" s="30"/>
      <c r="P249" s="11"/>
      <c r="Q249" s="31"/>
      <c r="R249" s="11"/>
      <c r="S249" s="11"/>
      <c r="T249" s="11"/>
      <c r="U249" s="32" t="str">
        <f aca="false">IF((LEN(A249)+LEN(B249)+LEN(C249)+LEN(D249)+LEN(E249)+LEN(F249)+LEN(G249)+LEN(H249)+LEN(I249)+LEN(J249)+LEN(K249)+LEN(M249)+LEN(N249)+LEN(O249)+LEN(P249)+LEN(Q249)+LEN(R249)+LEN(S249)+LEN(T249))=0,"",IF(OR(A249="",B249="",C249="",D249="",E249="",J249="",K249="",N249=""),"⚠ Champ obligatoire manquant",IF(AND(ISNUMBER(K249),ISNUMBER(J249),N(K249)&gt;N(J249)),"⚠ Prix Autopiec &gt; prix public",IF(COUNTIFS($A$2:$A$1001,A249,$B$2:$B$1001,B249)&gt;1,"⚠ Référence en double","✔ OK"))))</f>
        <v/>
      </c>
    </row>
    <row r="250" customFormat="false" ht="15" hidden="false" customHeight="false" outlineLevel="0" collapsed="false">
      <c r="A250" s="11"/>
      <c r="B250" s="27"/>
      <c r="C250" s="11"/>
      <c r="D250" s="11"/>
      <c r="E250" s="11"/>
      <c r="F250" s="27"/>
      <c r="G250" s="27"/>
      <c r="H250" s="11"/>
      <c r="I250" s="11"/>
      <c r="J250" s="12"/>
      <c r="K250" s="12"/>
      <c r="L250" s="28" t="str">
        <f aca="false">IF(AND(ISNUMBER(J250),ISNUMBER(K250),N(J250)&gt;0),1-K250/J250,"")</f>
        <v/>
      </c>
      <c r="M250" s="29"/>
      <c r="N250" s="30"/>
      <c r="O250" s="30"/>
      <c r="P250" s="11"/>
      <c r="Q250" s="31"/>
      <c r="R250" s="11"/>
      <c r="S250" s="11"/>
      <c r="T250" s="11"/>
      <c r="U250" s="32" t="str">
        <f aca="false">IF((LEN(A250)+LEN(B250)+LEN(C250)+LEN(D250)+LEN(E250)+LEN(F250)+LEN(G250)+LEN(H250)+LEN(I250)+LEN(J250)+LEN(K250)+LEN(M250)+LEN(N250)+LEN(O250)+LEN(P250)+LEN(Q250)+LEN(R250)+LEN(S250)+LEN(T250))=0,"",IF(OR(A250="",B250="",C250="",D250="",E250="",J250="",K250="",N250=""),"⚠ Champ obligatoire manquant",IF(AND(ISNUMBER(K250),ISNUMBER(J250),N(K250)&gt;N(J250)),"⚠ Prix Autopiec &gt; prix public",IF(COUNTIFS($A$2:$A$1001,A250,$B$2:$B$1001,B250)&gt;1,"⚠ Référence en double","✔ OK"))))</f>
        <v/>
      </c>
    </row>
    <row r="251" customFormat="false" ht="15" hidden="false" customHeight="false" outlineLevel="0" collapsed="false">
      <c r="A251" s="11"/>
      <c r="B251" s="27"/>
      <c r="C251" s="11"/>
      <c r="D251" s="11"/>
      <c r="E251" s="11"/>
      <c r="F251" s="27"/>
      <c r="G251" s="27"/>
      <c r="H251" s="11"/>
      <c r="I251" s="11"/>
      <c r="J251" s="12"/>
      <c r="K251" s="12"/>
      <c r="L251" s="28" t="str">
        <f aca="false">IF(AND(ISNUMBER(J251),ISNUMBER(K251),N(J251)&gt;0),1-K251/J251,"")</f>
        <v/>
      </c>
      <c r="M251" s="29"/>
      <c r="N251" s="30"/>
      <c r="O251" s="30"/>
      <c r="P251" s="11"/>
      <c r="Q251" s="31"/>
      <c r="R251" s="11"/>
      <c r="S251" s="11"/>
      <c r="T251" s="11"/>
      <c r="U251" s="32" t="str">
        <f aca="false">IF((LEN(A251)+LEN(B251)+LEN(C251)+LEN(D251)+LEN(E251)+LEN(F251)+LEN(G251)+LEN(H251)+LEN(I251)+LEN(J251)+LEN(K251)+LEN(M251)+LEN(N251)+LEN(O251)+LEN(P251)+LEN(Q251)+LEN(R251)+LEN(S251)+LEN(T251))=0,"",IF(OR(A251="",B251="",C251="",D251="",E251="",J251="",K251="",N251=""),"⚠ Champ obligatoire manquant",IF(AND(ISNUMBER(K251),ISNUMBER(J251),N(K251)&gt;N(J251)),"⚠ Prix Autopiec &gt; prix public",IF(COUNTIFS($A$2:$A$1001,A251,$B$2:$B$1001,B251)&gt;1,"⚠ Référence en double","✔ OK"))))</f>
        <v/>
      </c>
    </row>
    <row r="252" customFormat="false" ht="15" hidden="false" customHeight="false" outlineLevel="0" collapsed="false">
      <c r="A252" s="11"/>
      <c r="B252" s="27"/>
      <c r="C252" s="11"/>
      <c r="D252" s="11"/>
      <c r="E252" s="11"/>
      <c r="F252" s="27"/>
      <c r="G252" s="27"/>
      <c r="H252" s="11"/>
      <c r="I252" s="11"/>
      <c r="J252" s="12"/>
      <c r="K252" s="12"/>
      <c r="L252" s="28" t="str">
        <f aca="false">IF(AND(ISNUMBER(J252),ISNUMBER(K252),N(J252)&gt;0),1-K252/J252,"")</f>
        <v/>
      </c>
      <c r="M252" s="29"/>
      <c r="N252" s="30"/>
      <c r="O252" s="30"/>
      <c r="P252" s="11"/>
      <c r="Q252" s="31"/>
      <c r="R252" s="11"/>
      <c r="S252" s="11"/>
      <c r="T252" s="11"/>
      <c r="U252" s="32" t="str">
        <f aca="false">IF((LEN(A252)+LEN(B252)+LEN(C252)+LEN(D252)+LEN(E252)+LEN(F252)+LEN(G252)+LEN(H252)+LEN(I252)+LEN(J252)+LEN(K252)+LEN(M252)+LEN(N252)+LEN(O252)+LEN(P252)+LEN(Q252)+LEN(R252)+LEN(S252)+LEN(T252))=0,"",IF(OR(A252="",B252="",C252="",D252="",E252="",J252="",K252="",N252=""),"⚠ Champ obligatoire manquant",IF(AND(ISNUMBER(K252),ISNUMBER(J252),N(K252)&gt;N(J252)),"⚠ Prix Autopiec &gt; prix public",IF(COUNTIFS($A$2:$A$1001,A252,$B$2:$B$1001,B252)&gt;1,"⚠ Référence en double","✔ OK"))))</f>
        <v/>
      </c>
    </row>
    <row r="253" customFormat="false" ht="15" hidden="false" customHeight="false" outlineLevel="0" collapsed="false">
      <c r="A253" s="11"/>
      <c r="B253" s="27"/>
      <c r="C253" s="11"/>
      <c r="D253" s="11"/>
      <c r="E253" s="11"/>
      <c r="F253" s="27"/>
      <c r="G253" s="27"/>
      <c r="H253" s="11"/>
      <c r="I253" s="11"/>
      <c r="J253" s="12"/>
      <c r="K253" s="12"/>
      <c r="L253" s="28" t="str">
        <f aca="false">IF(AND(ISNUMBER(J253),ISNUMBER(K253),N(J253)&gt;0),1-K253/J253,"")</f>
        <v/>
      </c>
      <c r="M253" s="29"/>
      <c r="N253" s="30"/>
      <c r="O253" s="30"/>
      <c r="P253" s="11"/>
      <c r="Q253" s="31"/>
      <c r="R253" s="11"/>
      <c r="S253" s="11"/>
      <c r="T253" s="11"/>
      <c r="U253" s="32" t="str">
        <f aca="false">IF((LEN(A253)+LEN(B253)+LEN(C253)+LEN(D253)+LEN(E253)+LEN(F253)+LEN(G253)+LEN(H253)+LEN(I253)+LEN(J253)+LEN(K253)+LEN(M253)+LEN(N253)+LEN(O253)+LEN(P253)+LEN(Q253)+LEN(R253)+LEN(S253)+LEN(T253))=0,"",IF(OR(A253="",B253="",C253="",D253="",E253="",J253="",K253="",N253=""),"⚠ Champ obligatoire manquant",IF(AND(ISNUMBER(K253),ISNUMBER(J253),N(K253)&gt;N(J253)),"⚠ Prix Autopiec &gt; prix public",IF(COUNTIFS($A$2:$A$1001,A253,$B$2:$B$1001,B253)&gt;1,"⚠ Référence en double","✔ OK"))))</f>
        <v/>
      </c>
    </row>
    <row r="254" customFormat="false" ht="15" hidden="false" customHeight="false" outlineLevel="0" collapsed="false">
      <c r="A254" s="11"/>
      <c r="B254" s="27"/>
      <c r="C254" s="11"/>
      <c r="D254" s="11"/>
      <c r="E254" s="11"/>
      <c r="F254" s="27"/>
      <c r="G254" s="27"/>
      <c r="H254" s="11"/>
      <c r="I254" s="11"/>
      <c r="J254" s="12"/>
      <c r="K254" s="12"/>
      <c r="L254" s="28" t="str">
        <f aca="false">IF(AND(ISNUMBER(J254),ISNUMBER(K254),N(J254)&gt;0),1-K254/J254,"")</f>
        <v/>
      </c>
      <c r="M254" s="29"/>
      <c r="N254" s="30"/>
      <c r="O254" s="30"/>
      <c r="P254" s="11"/>
      <c r="Q254" s="31"/>
      <c r="R254" s="11"/>
      <c r="S254" s="11"/>
      <c r="T254" s="11"/>
      <c r="U254" s="32" t="str">
        <f aca="false">IF((LEN(A254)+LEN(B254)+LEN(C254)+LEN(D254)+LEN(E254)+LEN(F254)+LEN(G254)+LEN(H254)+LEN(I254)+LEN(J254)+LEN(K254)+LEN(M254)+LEN(N254)+LEN(O254)+LEN(P254)+LEN(Q254)+LEN(R254)+LEN(S254)+LEN(T254))=0,"",IF(OR(A254="",B254="",C254="",D254="",E254="",J254="",K254="",N254=""),"⚠ Champ obligatoire manquant",IF(AND(ISNUMBER(K254),ISNUMBER(J254),N(K254)&gt;N(J254)),"⚠ Prix Autopiec &gt; prix public",IF(COUNTIFS($A$2:$A$1001,A254,$B$2:$B$1001,B254)&gt;1,"⚠ Référence en double","✔ OK"))))</f>
        <v/>
      </c>
    </row>
    <row r="255" customFormat="false" ht="15" hidden="false" customHeight="false" outlineLevel="0" collapsed="false">
      <c r="A255" s="11"/>
      <c r="B255" s="27"/>
      <c r="C255" s="11"/>
      <c r="D255" s="11"/>
      <c r="E255" s="11"/>
      <c r="F255" s="27"/>
      <c r="G255" s="27"/>
      <c r="H255" s="11"/>
      <c r="I255" s="11"/>
      <c r="J255" s="12"/>
      <c r="K255" s="12"/>
      <c r="L255" s="28" t="str">
        <f aca="false">IF(AND(ISNUMBER(J255),ISNUMBER(K255),N(J255)&gt;0),1-K255/J255,"")</f>
        <v/>
      </c>
      <c r="M255" s="29"/>
      <c r="N255" s="30"/>
      <c r="O255" s="30"/>
      <c r="P255" s="11"/>
      <c r="Q255" s="31"/>
      <c r="R255" s="11"/>
      <c r="S255" s="11"/>
      <c r="T255" s="11"/>
      <c r="U255" s="32" t="str">
        <f aca="false">IF((LEN(A255)+LEN(B255)+LEN(C255)+LEN(D255)+LEN(E255)+LEN(F255)+LEN(G255)+LEN(H255)+LEN(I255)+LEN(J255)+LEN(K255)+LEN(M255)+LEN(N255)+LEN(O255)+LEN(P255)+LEN(Q255)+LEN(R255)+LEN(S255)+LEN(T255))=0,"",IF(OR(A255="",B255="",C255="",D255="",E255="",J255="",K255="",N255=""),"⚠ Champ obligatoire manquant",IF(AND(ISNUMBER(K255),ISNUMBER(J255),N(K255)&gt;N(J255)),"⚠ Prix Autopiec &gt; prix public",IF(COUNTIFS($A$2:$A$1001,A255,$B$2:$B$1001,B255)&gt;1,"⚠ Référence en double","✔ OK"))))</f>
        <v/>
      </c>
    </row>
    <row r="256" customFormat="false" ht="15" hidden="false" customHeight="false" outlineLevel="0" collapsed="false">
      <c r="A256" s="11"/>
      <c r="B256" s="27"/>
      <c r="C256" s="11"/>
      <c r="D256" s="11"/>
      <c r="E256" s="11"/>
      <c r="F256" s="27"/>
      <c r="G256" s="27"/>
      <c r="H256" s="11"/>
      <c r="I256" s="11"/>
      <c r="J256" s="12"/>
      <c r="K256" s="12"/>
      <c r="L256" s="28" t="str">
        <f aca="false">IF(AND(ISNUMBER(J256),ISNUMBER(K256),N(J256)&gt;0),1-K256/J256,"")</f>
        <v/>
      </c>
      <c r="M256" s="29"/>
      <c r="N256" s="30"/>
      <c r="O256" s="30"/>
      <c r="P256" s="11"/>
      <c r="Q256" s="31"/>
      <c r="R256" s="11"/>
      <c r="S256" s="11"/>
      <c r="T256" s="11"/>
      <c r="U256" s="32" t="str">
        <f aca="false">IF((LEN(A256)+LEN(B256)+LEN(C256)+LEN(D256)+LEN(E256)+LEN(F256)+LEN(G256)+LEN(H256)+LEN(I256)+LEN(J256)+LEN(K256)+LEN(M256)+LEN(N256)+LEN(O256)+LEN(P256)+LEN(Q256)+LEN(R256)+LEN(S256)+LEN(T256))=0,"",IF(OR(A256="",B256="",C256="",D256="",E256="",J256="",K256="",N256=""),"⚠ Champ obligatoire manquant",IF(AND(ISNUMBER(K256),ISNUMBER(J256),N(K256)&gt;N(J256)),"⚠ Prix Autopiec &gt; prix public",IF(COUNTIFS($A$2:$A$1001,A256,$B$2:$B$1001,B256)&gt;1,"⚠ Référence en double","✔ OK"))))</f>
        <v/>
      </c>
    </row>
    <row r="257" customFormat="false" ht="15" hidden="false" customHeight="false" outlineLevel="0" collapsed="false">
      <c r="A257" s="11"/>
      <c r="B257" s="27"/>
      <c r="C257" s="11"/>
      <c r="D257" s="11"/>
      <c r="E257" s="11"/>
      <c r="F257" s="27"/>
      <c r="G257" s="27"/>
      <c r="H257" s="11"/>
      <c r="I257" s="11"/>
      <c r="J257" s="12"/>
      <c r="K257" s="12"/>
      <c r="L257" s="28" t="str">
        <f aca="false">IF(AND(ISNUMBER(J257),ISNUMBER(K257),N(J257)&gt;0),1-K257/J257,"")</f>
        <v/>
      </c>
      <c r="M257" s="29"/>
      <c r="N257" s="30"/>
      <c r="O257" s="30"/>
      <c r="P257" s="11"/>
      <c r="Q257" s="31"/>
      <c r="R257" s="11"/>
      <c r="S257" s="11"/>
      <c r="T257" s="11"/>
      <c r="U257" s="32" t="str">
        <f aca="false">IF((LEN(A257)+LEN(B257)+LEN(C257)+LEN(D257)+LEN(E257)+LEN(F257)+LEN(G257)+LEN(H257)+LEN(I257)+LEN(J257)+LEN(K257)+LEN(M257)+LEN(N257)+LEN(O257)+LEN(P257)+LEN(Q257)+LEN(R257)+LEN(S257)+LEN(T257))=0,"",IF(OR(A257="",B257="",C257="",D257="",E257="",J257="",K257="",N257=""),"⚠ Champ obligatoire manquant",IF(AND(ISNUMBER(K257),ISNUMBER(J257),N(K257)&gt;N(J257)),"⚠ Prix Autopiec &gt; prix public",IF(COUNTIFS($A$2:$A$1001,A257,$B$2:$B$1001,B257)&gt;1,"⚠ Référence en double","✔ OK"))))</f>
        <v/>
      </c>
    </row>
    <row r="258" customFormat="false" ht="15" hidden="false" customHeight="false" outlineLevel="0" collapsed="false">
      <c r="A258" s="11"/>
      <c r="B258" s="27"/>
      <c r="C258" s="11"/>
      <c r="D258" s="11"/>
      <c r="E258" s="11"/>
      <c r="F258" s="27"/>
      <c r="G258" s="27"/>
      <c r="H258" s="11"/>
      <c r="I258" s="11"/>
      <c r="J258" s="12"/>
      <c r="K258" s="12"/>
      <c r="L258" s="28" t="str">
        <f aca="false">IF(AND(ISNUMBER(J258),ISNUMBER(K258),N(J258)&gt;0),1-K258/J258,"")</f>
        <v/>
      </c>
      <c r="M258" s="29"/>
      <c r="N258" s="30"/>
      <c r="O258" s="30"/>
      <c r="P258" s="11"/>
      <c r="Q258" s="31"/>
      <c r="R258" s="11"/>
      <c r="S258" s="11"/>
      <c r="T258" s="11"/>
      <c r="U258" s="32" t="str">
        <f aca="false">IF((LEN(A258)+LEN(B258)+LEN(C258)+LEN(D258)+LEN(E258)+LEN(F258)+LEN(G258)+LEN(H258)+LEN(I258)+LEN(J258)+LEN(K258)+LEN(M258)+LEN(N258)+LEN(O258)+LEN(P258)+LEN(Q258)+LEN(R258)+LEN(S258)+LEN(T258))=0,"",IF(OR(A258="",B258="",C258="",D258="",E258="",J258="",K258="",N258=""),"⚠ Champ obligatoire manquant",IF(AND(ISNUMBER(K258),ISNUMBER(J258),N(K258)&gt;N(J258)),"⚠ Prix Autopiec &gt; prix public",IF(COUNTIFS($A$2:$A$1001,A258,$B$2:$B$1001,B258)&gt;1,"⚠ Référence en double","✔ OK"))))</f>
        <v/>
      </c>
    </row>
    <row r="259" customFormat="false" ht="15" hidden="false" customHeight="false" outlineLevel="0" collapsed="false">
      <c r="A259" s="11"/>
      <c r="B259" s="27"/>
      <c r="C259" s="11"/>
      <c r="D259" s="11"/>
      <c r="E259" s="11"/>
      <c r="F259" s="27"/>
      <c r="G259" s="27"/>
      <c r="H259" s="11"/>
      <c r="I259" s="11"/>
      <c r="J259" s="12"/>
      <c r="K259" s="12"/>
      <c r="L259" s="28" t="str">
        <f aca="false">IF(AND(ISNUMBER(J259),ISNUMBER(K259),N(J259)&gt;0),1-K259/J259,"")</f>
        <v/>
      </c>
      <c r="M259" s="29"/>
      <c r="N259" s="30"/>
      <c r="O259" s="30"/>
      <c r="P259" s="11"/>
      <c r="Q259" s="31"/>
      <c r="R259" s="11"/>
      <c r="S259" s="11"/>
      <c r="T259" s="11"/>
      <c r="U259" s="32" t="str">
        <f aca="false">IF((LEN(A259)+LEN(B259)+LEN(C259)+LEN(D259)+LEN(E259)+LEN(F259)+LEN(G259)+LEN(H259)+LEN(I259)+LEN(J259)+LEN(K259)+LEN(M259)+LEN(N259)+LEN(O259)+LEN(P259)+LEN(Q259)+LEN(R259)+LEN(S259)+LEN(T259))=0,"",IF(OR(A259="",B259="",C259="",D259="",E259="",J259="",K259="",N259=""),"⚠ Champ obligatoire manquant",IF(AND(ISNUMBER(K259),ISNUMBER(J259),N(K259)&gt;N(J259)),"⚠ Prix Autopiec &gt; prix public",IF(COUNTIFS($A$2:$A$1001,A259,$B$2:$B$1001,B259)&gt;1,"⚠ Référence en double","✔ OK"))))</f>
        <v/>
      </c>
    </row>
    <row r="260" customFormat="false" ht="15" hidden="false" customHeight="false" outlineLevel="0" collapsed="false">
      <c r="A260" s="11"/>
      <c r="B260" s="27"/>
      <c r="C260" s="11"/>
      <c r="D260" s="11"/>
      <c r="E260" s="11"/>
      <c r="F260" s="27"/>
      <c r="G260" s="27"/>
      <c r="H260" s="11"/>
      <c r="I260" s="11"/>
      <c r="J260" s="12"/>
      <c r="K260" s="12"/>
      <c r="L260" s="28" t="str">
        <f aca="false">IF(AND(ISNUMBER(J260),ISNUMBER(K260),N(J260)&gt;0),1-K260/J260,"")</f>
        <v/>
      </c>
      <c r="M260" s="29"/>
      <c r="N260" s="30"/>
      <c r="O260" s="30"/>
      <c r="P260" s="11"/>
      <c r="Q260" s="31"/>
      <c r="R260" s="11"/>
      <c r="S260" s="11"/>
      <c r="T260" s="11"/>
      <c r="U260" s="32" t="str">
        <f aca="false">IF((LEN(A260)+LEN(B260)+LEN(C260)+LEN(D260)+LEN(E260)+LEN(F260)+LEN(G260)+LEN(H260)+LEN(I260)+LEN(J260)+LEN(K260)+LEN(M260)+LEN(N260)+LEN(O260)+LEN(P260)+LEN(Q260)+LEN(R260)+LEN(S260)+LEN(T260))=0,"",IF(OR(A260="",B260="",C260="",D260="",E260="",J260="",K260="",N260=""),"⚠ Champ obligatoire manquant",IF(AND(ISNUMBER(K260),ISNUMBER(J260),N(K260)&gt;N(J260)),"⚠ Prix Autopiec &gt; prix public",IF(COUNTIFS($A$2:$A$1001,A260,$B$2:$B$1001,B260)&gt;1,"⚠ Référence en double","✔ OK"))))</f>
        <v/>
      </c>
    </row>
    <row r="261" customFormat="false" ht="15" hidden="false" customHeight="false" outlineLevel="0" collapsed="false">
      <c r="A261" s="11"/>
      <c r="B261" s="27"/>
      <c r="C261" s="11"/>
      <c r="D261" s="11"/>
      <c r="E261" s="11"/>
      <c r="F261" s="27"/>
      <c r="G261" s="27"/>
      <c r="H261" s="11"/>
      <c r="I261" s="11"/>
      <c r="J261" s="12"/>
      <c r="K261" s="12"/>
      <c r="L261" s="28" t="str">
        <f aca="false">IF(AND(ISNUMBER(J261),ISNUMBER(K261),N(J261)&gt;0),1-K261/J261,"")</f>
        <v/>
      </c>
      <c r="M261" s="29"/>
      <c r="N261" s="30"/>
      <c r="O261" s="30"/>
      <c r="P261" s="11"/>
      <c r="Q261" s="31"/>
      <c r="R261" s="11"/>
      <c r="S261" s="11"/>
      <c r="T261" s="11"/>
      <c r="U261" s="32" t="str">
        <f aca="false">IF((LEN(A261)+LEN(B261)+LEN(C261)+LEN(D261)+LEN(E261)+LEN(F261)+LEN(G261)+LEN(H261)+LEN(I261)+LEN(J261)+LEN(K261)+LEN(M261)+LEN(N261)+LEN(O261)+LEN(P261)+LEN(Q261)+LEN(R261)+LEN(S261)+LEN(T261))=0,"",IF(OR(A261="",B261="",C261="",D261="",E261="",J261="",K261="",N261=""),"⚠ Champ obligatoire manquant",IF(AND(ISNUMBER(K261),ISNUMBER(J261),N(K261)&gt;N(J261)),"⚠ Prix Autopiec &gt; prix public",IF(COUNTIFS($A$2:$A$1001,A261,$B$2:$B$1001,B261)&gt;1,"⚠ Référence en double","✔ OK"))))</f>
        <v/>
      </c>
    </row>
    <row r="262" customFormat="false" ht="15" hidden="false" customHeight="false" outlineLevel="0" collapsed="false">
      <c r="A262" s="11"/>
      <c r="B262" s="27"/>
      <c r="C262" s="11"/>
      <c r="D262" s="11"/>
      <c r="E262" s="11"/>
      <c r="F262" s="27"/>
      <c r="G262" s="27"/>
      <c r="H262" s="11"/>
      <c r="I262" s="11"/>
      <c r="J262" s="12"/>
      <c r="K262" s="12"/>
      <c r="L262" s="28" t="str">
        <f aca="false">IF(AND(ISNUMBER(J262),ISNUMBER(K262),N(J262)&gt;0),1-K262/J262,"")</f>
        <v/>
      </c>
      <c r="M262" s="29"/>
      <c r="N262" s="30"/>
      <c r="O262" s="30"/>
      <c r="P262" s="11"/>
      <c r="Q262" s="31"/>
      <c r="R262" s="11"/>
      <c r="S262" s="11"/>
      <c r="T262" s="11"/>
      <c r="U262" s="32" t="str">
        <f aca="false">IF((LEN(A262)+LEN(B262)+LEN(C262)+LEN(D262)+LEN(E262)+LEN(F262)+LEN(G262)+LEN(H262)+LEN(I262)+LEN(J262)+LEN(K262)+LEN(M262)+LEN(N262)+LEN(O262)+LEN(P262)+LEN(Q262)+LEN(R262)+LEN(S262)+LEN(T262))=0,"",IF(OR(A262="",B262="",C262="",D262="",E262="",J262="",K262="",N262=""),"⚠ Champ obligatoire manquant",IF(AND(ISNUMBER(K262),ISNUMBER(J262),N(K262)&gt;N(J262)),"⚠ Prix Autopiec &gt; prix public",IF(COUNTIFS($A$2:$A$1001,A262,$B$2:$B$1001,B262)&gt;1,"⚠ Référence en double","✔ OK"))))</f>
        <v/>
      </c>
    </row>
    <row r="263" customFormat="false" ht="15" hidden="false" customHeight="false" outlineLevel="0" collapsed="false">
      <c r="A263" s="11"/>
      <c r="B263" s="27"/>
      <c r="C263" s="11"/>
      <c r="D263" s="11"/>
      <c r="E263" s="11"/>
      <c r="F263" s="27"/>
      <c r="G263" s="27"/>
      <c r="H263" s="11"/>
      <c r="I263" s="11"/>
      <c r="J263" s="12"/>
      <c r="K263" s="12"/>
      <c r="L263" s="28" t="str">
        <f aca="false">IF(AND(ISNUMBER(J263),ISNUMBER(K263),N(J263)&gt;0),1-K263/J263,"")</f>
        <v/>
      </c>
      <c r="M263" s="29"/>
      <c r="N263" s="30"/>
      <c r="O263" s="30"/>
      <c r="P263" s="11"/>
      <c r="Q263" s="31"/>
      <c r="R263" s="11"/>
      <c r="S263" s="11"/>
      <c r="T263" s="11"/>
      <c r="U263" s="32" t="str">
        <f aca="false">IF((LEN(A263)+LEN(B263)+LEN(C263)+LEN(D263)+LEN(E263)+LEN(F263)+LEN(G263)+LEN(H263)+LEN(I263)+LEN(J263)+LEN(K263)+LEN(M263)+LEN(N263)+LEN(O263)+LEN(P263)+LEN(Q263)+LEN(R263)+LEN(S263)+LEN(T263))=0,"",IF(OR(A263="",B263="",C263="",D263="",E263="",J263="",K263="",N263=""),"⚠ Champ obligatoire manquant",IF(AND(ISNUMBER(K263),ISNUMBER(J263),N(K263)&gt;N(J263)),"⚠ Prix Autopiec &gt; prix public",IF(COUNTIFS($A$2:$A$1001,A263,$B$2:$B$1001,B263)&gt;1,"⚠ Référence en double","✔ OK"))))</f>
        <v/>
      </c>
    </row>
    <row r="264" customFormat="false" ht="15" hidden="false" customHeight="false" outlineLevel="0" collapsed="false">
      <c r="A264" s="11"/>
      <c r="B264" s="27"/>
      <c r="C264" s="11"/>
      <c r="D264" s="11"/>
      <c r="E264" s="11"/>
      <c r="F264" s="27"/>
      <c r="G264" s="27"/>
      <c r="H264" s="11"/>
      <c r="I264" s="11"/>
      <c r="J264" s="12"/>
      <c r="K264" s="12"/>
      <c r="L264" s="28" t="str">
        <f aca="false">IF(AND(ISNUMBER(J264),ISNUMBER(K264),N(J264)&gt;0),1-K264/J264,"")</f>
        <v/>
      </c>
      <c r="M264" s="29"/>
      <c r="N264" s="30"/>
      <c r="O264" s="30"/>
      <c r="P264" s="11"/>
      <c r="Q264" s="31"/>
      <c r="R264" s="11"/>
      <c r="S264" s="11"/>
      <c r="T264" s="11"/>
      <c r="U264" s="32" t="str">
        <f aca="false">IF((LEN(A264)+LEN(B264)+LEN(C264)+LEN(D264)+LEN(E264)+LEN(F264)+LEN(G264)+LEN(H264)+LEN(I264)+LEN(J264)+LEN(K264)+LEN(M264)+LEN(N264)+LEN(O264)+LEN(P264)+LEN(Q264)+LEN(R264)+LEN(S264)+LEN(T264))=0,"",IF(OR(A264="",B264="",C264="",D264="",E264="",J264="",K264="",N264=""),"⚠ Champ obligatoire manquant",IF(AND(ISNUMBER(K264),ISNUMBER(J264),N(K264)&gt;N(J264)),"⚠ Prix Autopiec &gt; prix public",IF(COUNTIFS($A$2:$A$1001,A264,$B$2:$B$1001,B264)&gt;1,"⚠ Référence en double","✔ OK"))))</f>
        <v/>
      </c>
    </row>
    <row r="265" customFormat="false" ht="15" hidden="false" customHeight="false" outlineLevel="0" collapsed="false">
      <c r="A265" s="11"/>
      <c r="B265" s="27"/>
      <c r="C265" s="11"/>
      <c r="D265" s="11"/>
      <c r="E265" s="11"/>
      <c r="F265" s="27"/>
      <c r="G265" s="27"/>
      <c r="H265" s="11"/>
      <c r="I265" s="11"/>
      <c r="J265" s="12"/>
      <c r="K265" s="12"/>
      <c r="L265" s="28" t="str">
        <f aca="false">IF(AND(ISNUMBER(J265),ISNUMBER(K265),N(J265)&gt;0),1-K265/J265,"")</f>
        <v/>
      </c>
      <c r="M265" s="29"/>
      <c r="N265" s="30"/>
      <c r="O265" s="30"/>
      <c r="P265" s="11"/>
      <c r="Q265" s="31"/>
      <c r="R265" s="11"/>
      <c r="S265" s="11"/>
      <c r="T265" s="11"/>
      <c r="U265" s="32" t="str">
        <f aca="false">IF((LEN(A265)+LEN(B265)+LEN(C265)+LEN(D265)+LEN(E265)+LEN(F265)+LEN(G265)+LEN(H265)+LEN(I265)+LEN(J265)+LEN(K265)+LEN(M265)+LEN(N265)+LEN(O265)+LEN(P265)+LEN(Q265)+LEN(R265)+LEN(S265)+LEN(T265))=0,"",IF(OR(A265="",B265="",C265="",D265="",E265="",J265="",K265="",N265=""),"⚠ Champ obligatoire manquant",IF(AND(ISNUMBER(K265),ISNUMBER(J265),N(K265)&gt;N(J265)),"⚠ Prix Autopiec &gt; prix public",IF(COUNTIFS($A$2:$A$1001,A265,$B$2:$B$1001,B265)&gt;1,"⚠ Référence en double","✔ OK"))))</f>
        <v/>
      </c>
    </row>
    <row r="266" customFormat="false" ht="15" hidden="false" customHeight="false" outlineLevel="0" collapsed="false">
      <c r="A266" s="11"/>
      <c r="B266" s="27"/>
      <c r="C266" s="11"/>
      <c r="D266" s="11"/>
      <c r="E266" s="11"/>
      <c r="F266" s="27"/>
      <c r="G266" s="27"/>
      <c r="H266" s="11"/>
      <c r="I266" s="11"/>
      <c r="J266" s="12"/>
      <c r="K266" s="12"/>
      <c r="L266" s="28" t="str">
        <f aca="false">IF(AND(ISNUMBER(J266),ISNUMBER(K266),N(J266)&gt;0),1-K266/J266,"")</f>
        <v/>
      </c>
      <c r="M266" s="29"/>
      <c r="N266" s="30"/>
      <c r="O266" s="30"/>
      <c r="P266" s="11"/>
      <c r="Q266" s="31"/>
      <c r="R266" s="11"/>
      <c r="S266" s="11"/>
      <c r="T266" s="11"/>
      <c r="U266" s="32" t="str">
        <f aca="false">IF((LEN(A266)+LEN(B266)+LEN(C266)+LEN(D266)+LEN(E266)+LEN(F266)+LEN(G266)+LEN(H266)+LEN(I266)+LEN(J266)+LEN(K266)+LEN(M266)+LEN(N266)+LEN(O266)+LEN(P266)+LEN(Q266)+LEN(R266)+LEN(S266)+LEN(T266))=0,"",IF(OR(A266="",B266="",C266="",D266="",E266="",J266="",K266="",N266=""),"⚠ Champ obligatoire manquant",IF(AND(ISNUMBER(K266),ISNUMBER(J266),N(K266)&gt;N(J266)),"⚠ Prix Autopiec &gt; prix public",IF(COUNTIFS($A$2:$A$1001,A266,$B$2:$B$1001,B266)&gt;1,"⚠ Référence en double","✔ OK"))))</f>
        <v/>
      </c>
    </row>
    <row r="267" customFormat="false" ht="15" hidden="false" customHeight="false" outlineLevel="0" collapsed="false">
      <c r="A267" s="11"/>
      <c r="B267" s="27"/>
      <c r="C267" s="11"/>
      <c r="D267" s="11"/>
      <c r="E267" s="11"/>
      <c r="F267" s="27"/>
      <c r="G267" s="27"/>
      <c r="H267" s="11"/>
      <c r="I267" s="11"/>
      <c r="J267" s="12"/>
      <c r="K267" s="12"/>
      <c r="L267" s="28" t="str">
        <f aca="false">IF(AND(ISNUMBER(J267),ISNUMBER(K267),N(J267)&gt;0),1-K267/J267,"")</f>
        <v/>
      </c>
      <c r="M267" s="29"/>
      <c r="N267" s="30"/>
      <c r="O267" s="30"/>
      <c r="P267" s="11"/>
      <c r="Q267" s="31"/>
      <c r="R267" s="11"/>
      <c r="S267" s="11"/>
      <c r="T267" s="11"/>
      <c r="U267" s="32" t="str">
        <f aca="false">IF((LEN(A267)+LEN(B267)+LEN(C267)+LEN(D267)+LEN(E267)+LEN(F267)+LEN(G267)+LEN(H267)+LEN(I267)+LEN(J267)+LEN(K267)+LEN(M267)+LEN(N267)+LEN(O267)+LEN(P267)+LEN(Q267)+LEN(R267)+LEN(S267)+LEN(T267))=0,"",IF(OR(A267="",B267="",C267="",D267="",E267="",J267="",K267="",N267=""),"⚠ Champ obligatoire manquant",IF(AND(ISNUMBER(K267),ISNUMBER(J267),N(K267)&gt;N(J267)),"⚠ Prix Autopiec &gt; prix public",IF(COUNTIFS($A$2:$A$1001,A267,$B$2:$B$1001,B267)&gt;1,"⚠ Référence en double","✔ OK"))))</f>
        <v/>
      </c>
    </row>
    <row r="268" customFormat="false" ht="15" hidden="false" customHeight="false" outlineLevel="0" collapsed="false">
      <c r="A268" s="11"/>
      <c r="B268" s="27"/>
      <c r="C268" s="11"/>
      <c r="D268" s="11"/>
      <c r="E268" s="11"/>
      <c r="F268" s="27"/>
      <c r="G268" s="27"/>
      <c r="H268" s="11"/>
      <c r="I268" s="11"/>
      <c r="J268" s="12"/>
      <c r="K268" s="12"/>
      <c r="L268" s="28" t="str">
        <f aca="false">IF(AND(ISNUMBER(J268),ISNUMBER(K268),N(J268)&gt;0),1-K268/J268,"")</f>
        <v/>
      </c>
      <c r="M268" s="29"/>
      <c r="N268" s="30"/>
      <c r="O268" s="30"/>
      <c r="P268" s="11"/>
      <c r="Q268" s="31"/>
      <c r="R268" s="11"/>
      <c r="S268" s="11"/>
      <c r="T268" s="11"/>
      <c r="U268" s="32" t="str">
        <f aca="false">IF((LEN(A268)+LEN(B268)+LEN(C268)+LEN(D268)+LEN(E268)+LEN(F268)+LEN(G268)+LEN(H268)+LEN(I268)+LEN(J268)+LEN(K268)+LEN(M268)+LEN(N268)+LEN(O268)+LEN(P268)+LEN(Q268)+LEN(R268)+LEN(S268)+LEN(T268))=0,"",IF(OR(A268="",B268="",C268="",D268="",E268="",J268="",K268="",N268=""),"⚠ Champ obligatoire manquant",IF(AND(ISNUMBER(K268),ISNUMBER(J268),N(K268)&gt;N(J268)),"⚠ Prix Autopiec &gt; prix public",IF(COUNTIFS($A$2:$A$1001,A268,$B$2:$B$1001,B268)&gt;1,"⚠ Référence en double","✔ OK"))))</f>
        <v/>
      </c>
    </row>
    <row r="269" customFormat="false" ht="15" hidden="false" customHeight="false" outlineLevel="0" collapsed="false">
      <c r="A269" s="11"/>
      <c r="B269" s="27"/>
      <c r="C269" s="11"/>
      <c r="D269" s="11"/>
      <c r="E269" s="11"/>
      <c r="F269" s="27"/>
      <c r="G269" s="27"/>
      <c r="H269" s="11"/>
      <c r="I269" s="11"/>
      <c r="J269" s="12"/>
      <c r="K269" s="12"/>
      <c r="L269" s="28" t="str">
        <f aca="false">IF(AND(ISNUMBER(J269),ISNUMBER(K269),N(J269)&gt;0),1-K269/J269,"")</f>
        <v/>
      </c>
      <c r="M269" s="29"/>
      <c r="N269" s="30"/>
      <c r="O269" s="30"/>
      <c r="P269" s="11"/>
      <c r="Q269" s="31"/>
      <c r="R269" s="11"/>
      <c r="S269" s="11"/>
      <c r="T269" s="11"/>
      <c r="U269" s="32" t="str">
        <f aca="false">IF((LEN(A269)+LEN(B269)+LEN(C269)+LEN(D269)+LEN(E269)+LEN(F269)+LEN(G269)+LEN(H269)+LEN(I269)+LEN(J269)+LEN(K269)+LEN(M269)+LEN(N269)+LEN(O269)+LEN(P269)+LEN(Q269)+LEN(R269)+LEN(S269)+LEN(T269))=0,"",IF(OR(A269="",B269="",C269="",D269="",E269="",J269="",K269="",N269=""),"⚠ Champ obligatoire manquant",IF(AND(ISNUMBER(K269),ISNUMBER(J269),N(K269)&gt;N(J269)),"⚠ Prix Autopiec &gt; prix public",IF(COUNTIFS($A$2:$A$1001,A269,$B$2:$B$1001,B269)&gt;1,"⚠ Référence en double","✔ OK"))))</f>
        <v/>
      </c>
    </row>
    <row r="270" customFormat="false" ht="15" hidden="false" customHeight="false" outlineLevel="0" collapsed="false">
      <c r="A270" s="11"/>
      <c r="B270" s="27"/>
      <c r="C270" s="11"/>
      <c r="D270" s="11"/>
      <c r="E270" s="11"/>
      <c r="F270" s="27"/>
      <c r="G270" s="27"/>
      <c r="H270" s="11"/>
      <c r="I270" s="11"/>
      <c r="J270" s="12"/>
      <c r="K270" s="12"/>
      <c r="L270" s="28" t="str">
        <f aca="false">IF(AND(ISNUMBER(J270),ISNUMBER(K270),N(J270)&gt;0),1-K270/J270,"")</f>
        <v/>
      </c>
      <c r="M270" s="29"/>
      <c r="N270" s="30"/>
      <c r="O270" s="30"/>
      <c r="P270" s="11"/>
      <c r="Q270" s="31"/>
      <c r="R270" s="11"/>
      <c r="S270" s="11"/>
      <c r="T270" s="11"/>
      <c r="U270" s="32" t="str">
        <f aca="false">IF((LEN(A270)+LEN(B270)+LEN(C270)+LEN(D270)+LEN(E270)+LEN(F270)+LEN(G270)+LEN(H270)+LEN(I270)+LEN(J270)+LEN(K270)+LEN(M270)+LEN(N270)+LEN(O270)+LEN(P270)+LEN(Q270)+LEN(R270)+LEN(S270)+LEN(T270))=0,"",IF(OR(A270="",B270="",C270="",D270="",E270="",J270="",K270="",N270=""),"⚠ Champ obligatoire manquant",IF(AND(ISNUMBER(K270),ISNUMBER(J270),N(K270)&gt;N(J270)),"⚠ Prix Autopiec &gt; prix public",IF(COUNTIFS($A$2:$A$1001,A270,$B$2:$B$1001,B270)&gt;1,"⚠ Référence en double","✔ OK"))))</f>
        <v/>
      </c>
    </row>
    <row r="271" customFormat="false" ht="15" hidden="false" customHeight="false" outlineLevel="0" collapsed="false">
      <c r="A271" s="11"/>
      <c r="B271" s="27"/>
      <c r="C271" s="11"/>
      <c r="D271" s="11"/>
      <c r="E271" s="11"/>
      <c r="F271" s="27"/>
      <c r="G271" s="27"/>
      <c r="H271" s="11"/>
      <c r="I271" s="11"/>
      <c r="J271" s="12"/>
      <c r="K271" s="12"/>
      <c r="L271" s="28" t="str">
        <f aca="false">IF(AND(ISNUMBER(J271),ISNUMBER(K271),N(J271)&gt;0),1-K271/J271,"")</f>
        <v/>
      </c>
      <c r="M271" s="29"/>
      <c r="N271" s="30"/>
      <c r="O271" s="30"/>
      <c r="P271" s="11"/>
      <c r="Q271" s="31"/>
      <c r="R271" s="11"/>
      <c r="S271" s="11"/>
      <c r="T271" s="11"/>
      <c r="U271" s="32" t="str">
        <f aca="false">IF((LEN(A271)+LEN(B271)+LEN(C271)+LEN(D271)+LEN(E271)+LEN(F271)+LEN(G271)+LEN(H271)+LEN(I271)+LEN(J271)+LEN(K271)+LEN(M271)+LEN(N271)+LEN(O271)+LEN(P271)+LEN(Q271)+LEN(R271)+LEN(S271)+LEN(T271))=0,"",IF(OR(A271="",B271="",C271="",D271="",E271="",J271="",K271="",N271=""),"⚠ Champ obligatoire manquant",IF(AND(ISNUMBER(K271),ISNUMBER(J271),N(K271)&gt;N(J271)),"⚠ Prix Autopiec &gt; prix public",IF(COUNTIFS($A$2:$A$1001,A271,$B$2:$B$1001,B271)&gt;1,"⚠ Référence en double","✔ OK"))))</f>
        <v/>
      </c>
    </row>
    <row r="272" customFormat="false" ht="15" hidden="false" customHeight="false" outlineLevel="0" collapsed="false">
      <c r="A272" s="11"/>
      <c r="B272" s="27"/>
      <c r="C272" s="11"/>
      <c r="D272" s="11"/>
      <c r="E272" s="11"/>
      <c r="F272" s="27"/>
      <c r="G272" s="27"/>
      <c r="H272" s="11"/>
      <c r="I272" s="11"/>
      <c r="J272" s="12"/>
      <c r="K272" s="12"/>
      <c r="L272" s="28" t="str">
        <f aca="false">IF(AND(ISNUMBER(J272),ISNUMBER(K272),N(J272)&gt;0),1-K272/J272,"")</f>
        <v/>
      </c>
      <c r="M272" s="29"/>
      <c r="N272" s="30"/>
      <c r="O272" s="30"/>
      <c r="P272" s="11"/>
      <c r="Q272" s="31"/>
      <c r="R272" s="11"/>
      <c r="S272" s="11"/>
      <c r="T272" s="11"/>
      <c r="U272" s="32" t="str">
        <f aca="false">IF((LEN(A272)+LEN(B272)+LEN(C272)+LEN(D272)+LEN(E272)+LEN(F272)+LEN(G272)+LEN(H272)+LEN(I272)+LEN(J272)+LEN(K272)+LEN(M272)+LEN(N272)+LEN(O272)+LEN(P272)+LEN(Q272)+LEN(R272)+LEN(S272)+LEN(T272))=0,"",IF(OR(A272="",B272="",C272="",D272="",E272="",J272="",K272="",N272=""),"⚠ Champ obligatoire manquant",IF(AND(ISNUMBER(K272),ISNUMBER(J272),N(K272)&gt;N(J272)),"⚠ Prix Autopiec &gt; prix public",IF(COUNTIFS($A$2:$A$1001,A272,$B$2:$B$1001,B272)&gt;1,"⚠ Référence en double","✔ OK"))))</f>
        <v/>
      </c>
    </row>
    <row r="273" customFormat="false" ht="15" hidden="false" customHeight="false" outlineLevel="0" collapsed="false">
      <c r="A273" s="11"/>
      <c r="B273" s="27"/>
      <c r="C273" s="11"/>
      <c r="D273" s="11"/>
      <c r="E273" s="11"/>
      <c r="F273" s="27"/>
      <c r="G273" s="27"/>
      <c r="H273" s="11"/>
      <c r="I273" s="11"/>
      <c r="J273" s="12"/>
      <c r="K273" s="12"/>
      <c r="L273" s="28" t="str">
        <f aca="false">IF(AND(ISNUMBER(J273),ISNUMBER(K273),N(J273)&gt;0),1-K273/J273,"")</f>
        <v/>
      </c>
      <c r="M273" s="29"/>
      <c r="N273" s="30"/>
      <c r="O273" s="30"/>
      <c r="P273" s="11"/>
      <c r="Q273" s="31"/>
      <c r="R273" s="11"/>
      <c r="S273" s="11"/>
      <c r="T273" s="11"/>
      <c r="U273" s="32" t="str">
        <f aca="false">IF((LEN(A273)+LEN(B273)+LEN(C273)+LEN(D273)+LEN(E273)+LEN(F273)+LEN(G273)+LEN(H273)+LEN(I273)+LEN(J273)+LEN(K273)+LEN(M273)+LEN(N273)+LEN(O273)+LEN(P273)+LEN(Q273)+LEN(R273)+LEN(S273)+LEN(T273))=0,"",IF(OR(A273="",B273="",C273="",D273="",E273="",J273="",K273="",N273=""),"⚠ Champ obligatoire manquant",IF(AND(ISNUMBER(K273),ISNUMBER(J273),N(K273)&gt;N(J273)),"⚠ Prix Autopiec &gt; prix public",IF(COUNTIFS($A$2:$A$1001,A273,$B$2:$B$1001,B273)&gt;1,"⚠ Référence en double","✔ OK"))))</f>
        <v/>
      </c>
    </row>
    <row r="274" customFormat="false" ht="15" hidden="false" customHeight="false" outlineLevel="0" collapsed="false">
      <c r="A274" s="11"/>
      <c r="B274" s="27"/>
      <c r="C274" s="11"/>
      <c r="D274" s="11"/>
      <c r="E274" s="11"/>
      <c r="F274" s="27"/>
      <c r="G274" s="27"/>
      <c r="H274" s="11"/>
      <c r="I274" s="11"/>
      <c r="J274" s="12"/>
      <c r="K274" s="12"/>
      <c r="L274" s="28" t="str">
        <f aca="false">IF(AND(ISNUMBER(J274),ISNUMBER(K274),N(J274)&gt;0),1-K274/J274,"")</f>
        <v/>
      </c>
      <c r="M274" s="29"/>
      <c r="N274" s="30"/>
      <c r="O274" s="30"/>
      <c r="P274" s="11"/>
      <c r="Q274" s="31"/>
      <c r="R274" s="11"/>
      <c r="S274" s="11"/>
      <c r="T274" s="11"/>
      <c r="U274" s="32" t="str">
        <f aca="false">IF((LEN(A274)+LEN(B274)+LEN(C274)+LEN(D274)+LEN(E274)+LEN(F274)+LEN(G274)+LEN(H274)+LEN(I274)+LEN(J274)+LEN(K274)+LEN(M274)+LEN(N274)+LEN(O274)+LEN(P274)+LEN(Q274)+LEN(R274)+LEN(S274)+LEN(T274))=0,"",IF(OR(A274="",B274="",C274="",D274="",E274="",J274="",K274="",N274=""),"⚠ Champ obligatoire manquant",IF(AND(ISNUMBER(K274),ISNUMBER(J274),N(K274)&gt;N(J274)),"⚠ Prix Autopiec &gt; prix public",IF(COUNTIFS($A$2:$A$1001,A274,$B$2:$B$1001,B274)&gt;1,"⚠ Référence en double","✔ OK"))))</f>
        <v/>
      </c>
    </row>
    <row r="275" customFormat="false" ht="15" hidden="false" customHeight="false" outlineLevel="0" collapsed="false">
      <c r="A275" s="11"/>
      <c r="B275" s="27"/>
      <c r="C275" s="11"/>
      <c r="D275" s="11"/>
      <c r="E275" s="11"/>
      <c r="F275" s="27"/>
      <c r="G275" s="27"/>
      <c r="H275" s="11"/>
      <c r="I275" s="11"/>
      <c r="J275" s="12"/>
      <c r="K275" s="12"/>
      <c r="L275" s="28" t="str">
        <f aca="false">IF(AND(ISNUMBER(J275),ISNUMBER(K275),N(J275)&gt;0),1-K275/J275,"")</f>
        <v/>
      </c>
      <c r="M275" s="29"/>
      <c r="N275" s="30"/>
      <c r="O275" s="30"/>
      <c r="P275" s="11"/>
      <c r="Q275" s="31"/>
      <c r="R275" s="11"/>
      <c r="S275" s="11"/>
      <c r="T275" s="11"/>
      <c r="U275" s="32" t="str">
        <f aca="false">IF((LEN(A275)+LEN(B275)+LEN(C275)+LEN(D275)+LEN(E275)+LEN(F275)+LEN(G275)+LEN(H275)+LEN(I275)+LEN(J275)+LEN(K275)+LEN(M275)+LEN(N275)+LEN(O275)+LEN(P275)+LEN(Q275)+LEN(R275)+LEN(S275)+LEN(T275))=0,"",IF(OR(A275="",B275="",C275="",D275="",E275="",J275="",K275="",N275=""),"⚠ Champ obligatoire manquant",IF(AND(ISNUMBER(K275),ISNUMBER(J275),N(K275)&gt;N(J275)),"⚠ Prix Autopiec &gt; prix public",IF(COUNTIFS($A$2:$A$1001,A275,$B$2:$B$1001,B275)&gt;1,"⚠ Référence en double","✔ OK"))))</f>
        <v/>
      </c>
    </row>
    <row r="276" customFormat="false" ht="15" hidden="false" customHeight="false" outlineLevel="0" collapsed="false">
      <c r="A276" s="11"/>
      <c r="B276" s="27"/>
      <c r="C276" s="11"/>
      <c r="D276" s="11"/>
      <c r="E276" s="11"/>
      <c r="F276" s="27"/>
      <c r="G276" s="27"/>
      <c r="H276" s="11"/>
      <c r="I276" s="11"/>
      <c r="J276" s="12"/>
      <c r="K276" s="12"/>
      <c r="L276" s="28" t="str">
        <f aca="false">IF(AND(ISNUMBER(J276),ISNUMBER(K276),N(J276)&gt;0),1-K276/J276,"")</f>
        <v/>
      </c>
      <c r="M276" s="29"/>
      <c r="N276" s="30"/>
      <c r="O276" s="30"/>
      <c r="P276" s="11"/>
      <c r="Q276" s="31"/>
      <c r="R276" s="11"/>
      <c r="S276" s="11"/>
      <c r="T276" s="11"/>
      <c r="U276" s="32" t="str">
        <f aca="false">IF((LEN(A276)+LEN(B276)+LEN(C276)+LEN(D276)+LEN(E276)+LEN(F276)+LEN(G276)+LEN(H276)+LEN(I276)+LEN(J276)+LEN(K276)+LEN(M276)+LEN(N276)+LEN(O276)+LEN(P276)+LEN(Q276)+LEN(R276)+LEN(S276)+LEN(T276))=0,"",IF(OR(A276="",B276="",C276="",D276="",E276="",J276="",K276="",N276=""),"⚠ Champ obligatoire manquant",IF(AND(ISNUMBER(K276),ISNUMBER(J276),N(K276)&gt;N(J276)),"⚠ Prix Autopiec &gt; prix public",IF(COUNTIFS($A$2:$A$1001,A276,$B$2:$B$1001,B276)&gt;1,"⚠ Référence en double","✔ OK"))))</f>
        <v/>
      </c>
    </row>
    <row r="277" customFormat="false" ht="15" hidden="false" customHeight="false" outlineLevel="0" collapsed="false">
      <c r="A277" s="11"/>
      <c r="B277" s="27"/>
      <c r="C277" s="11"/>
      <c r="D277" s="11"/>
      <c r="E277" s="11"/>
      <c r="F277" s="27"/>
      <c r="G277" s="27"/>
      <c r="H277" s="11"/>
      <c r="I277" s="11"/>
      <c r="J277" s="12"/>
      <c r="K277" s="12"/>
      <c r="L277" s="28" t="str">
        <f aca="false">IF(AND(ISNUMBER(J277),ISNUMBER(K277),N(J277)&gt;0),1-K277/J277,"")</f>
        <v/>
      </c>
      <c r="M277" s="29"/>
      <c r="N277" s="30"/>
      <c r="O277" s="30"/>
      <c r="P277" s="11"/>
      <c r="Q277" s="31"/>
      <c r="R277" s="11"/>
      <c r="S277" s="11"/>
      <c r="T277" s="11"/>
      <c r="U277" s="32" t="str">
        <f aca="false">IF((LEN(A277)+LEN(B277)+LEN(C277)+LEN(D277)+LEN(E277)+LEN(F277)+LEN(G277)+LEN(H277)+LEN(I277)+LEN(J277)+LEN(K277)+LEN(M277)+LEN(N277)+LEN(O277)+LEN(P277)+LEN(Q277)+LEN(R277)+LEN(S277)+LEN(T277))=0,"",IF(OR(A277="",B277="",C277="",D277="",E277="",J277="",K277="",N277=""),"⚠ Champ obligatoire manquant",IF(AND(ISNUMBER(K277),ISNUMBER(J277),N(K277)&gt;N(J277)),"⚠ Prix Autopiec &gt; prix public",IF(COUNTIFS($A$2:$A$1001,A277,$B$2:$B$1001,B277)&gt;1,"⚠ Référence en double","✔ OK"))))</f>
        <v/>
      </c>
    </row>
    <row r="278" customFormat="false" ht="15" hidden="false" customHeight="false" outlineLevel="0" collapsed="false">
      <c r="A278" s="11"/>
      <c r="B278" s="27"/>
      <c r="C278" s="11"/>
      <c r="D278" s="11"/>
      <c r="E278" s="11"/>
      <c r="F278" s="27"/>
      <c r="G278" s="27"/>
      <c r="H278" s="11"/>
      <c r="I278" s="11"/>
      <c r="J278" s="12"/>
      <c r="K278" s="12"/>
      <c r="L278" s="28" t="str">
        <f aca="false">IF(AND(ISNUMBER(J278),ISNUMBER(K278),N(J278)&gt;0),1-K278/J278,"")</f>
        <v/>
      </c>
      <c r="M278" s="29"/>
      <c r="N278" s="30"/>
      <c r="O278" s="30"/>
      <c r="P278" s="11"/>
      <c r="Q278" s="31"/>
      <c r="R278" s="11"/>
      <c r="S278" s="11"/>
      <c r="T278" s="11"/>
      <c r="U278" s="32" t="str">
        <f aca="false">IF((LEN(A278)+LEN(B278)+LEN(C278)+LEN(D278)+LEN(E278)+LEN(F278)+LEN(G278)+LEN(H278)+LEN(I278)+LEN(J278)+LEN(K278)+LEN(M278)+LEN(N278)+LEN(O278)+LEN(P278)+LEN(Q278)+LEN(R278)+LEN(S278)+LEN(T278))=0,"",IF(OR(A278="",B278="",C278="",D278="",E278="",J278="",K278="",N278=""),"⚠ Champ obligatoire manquant",IF(AND(ISNUMBER(K278),ISNUMBER(J278),N(K278)&gt;N(J278)),"⚠ Prix Autopiec &gt; prix public",IF(COUNTIFS($A$2:$A$1001,A278,$B$2:$B$1001,B278)&gt;1,"⚠ Référence en double","✔ OK"))))</f>
        <v/>
      </c>
    </row>
    <row r="279" customFormat="false" ht="15" hidden="false" customHeight="false" outlineLevel="0" collapsed="false">
      <c r="A279" s="11"/>
      <c r="B279" s="27"/>
      <c r="C279" s="11"/>
      <c r="D279" s="11"/>
      <c r="E279" s="11"/>
      <c r="F279" s="27"/>
      <c r="G279" s="27"/>
      <c r="H279" s="11"/>
      <c r="I279" s="11"/>
      <c r="J279" s="12"/>
      <c r="K279" s="12"/>
      <c r="L279" s="28" t="str">
        <f aca="false">IF(AND(ISNUMBER(J279),ISNUMBER(K279),N(J279)&gt;0),1-K279/J279,"")</f>
        <v/>
      </c>
      <c r="M279" s="29"/>
      <c r="N279" s="30"/>
      <c r="O279" s="30"/>
      <c r="P279" s="11"/>
      <c r="Q279" s="31"/>
      <c r="R279" s="11"/>
      <c r="S279" s="11"/>
      <c r="T279" s="11"/>
      <c r="U279" s="32" t="str">
        <f aca="false">IF((LEN(A279)+LEN(B279)+LEN(C279)+LEN(D279)+LEN(E279)+LEN(F279)+LEN(G279)+LEN(H279)+LEN(I279)+LEN(J279)+LEN(K279)+LEN(M279)+LEN(N279)+LEN(O279)+LEN(P279)+LEN(Q279)+LEN(R279)+LEN(S279)+LEN(T279))=0,"",IF(OR(A279="",B279="",C279="",D279="",E279="",J279="",K279="",N279=""),"⚠ Champ obligatoire manquant",IF(AND(ISNUMBER(K279),ISNUMBER(J279),N(K279)&gt;N(J279)),"⚠ Prix Autopiec &gt; prix public",IF(COUNTIFS($A$2:$A$1001,A279,$B$2:$B$1001,B279)&gt;1,"⚠ Référence en double","✔ OK"))))</f>
        <v/>
      </c>
    </row>
    <row r="280" customFormat="false" ht="15" hidden="false" customHeight="false" outlineLevel="0" collapsed="false">
      <c r="A280" s="11"/>
      <c r="B280" s="27"/>
      <c r="C280" s="11"/>
      <c r="D280" s="11"/>
      <c r="E280" s="11"/>
      <c r="F280" s="27"/>
      <c r="G280" s="27"/>
      <c r="H280" s="11"/>
      <c r="I280" s="11"/>
      <c r="J280" s="12"/>
      <c r="K280" s="12"/>
      <c r="L280" s="28" t="str">
        <f aca="false">IF(AND(ISNUMBER(J280),ISNUMBER(K280),N(J280)&gt;0),1-K280/J280,"")</f>
        <v/>
      </c>
      <c r="M280" s="29"/>
      <c r="N280" s="30"/>
      <c r="O280" s="30"/>
      <c r="P280" s="11"/>
      <c r="Q280" s="31"/>
      <c r="R280" s="11"/>
      <c r="S280" s="11"/>
      <c r="T280" s="11"/>
      <c r="U280" s="32" t="str">
        <f aca="false">IF((LEN(A280)+LEN(B280)+LEN(C280)+LEN(D280)+LEN(E280)+LEN(F280)+LEN(G280)+LEN(H280)+LEN(I280)+LEN(J280)+LEN(K280)+LEN(M280)+LEN(N280)+LEN(O280)+LEN(P280)+LEN(Q280)+LEN(R280)+LEN(S280)+LEN(T280))=0,"",IF(OR(A280="",B280="",C280="",D280="",E280="",J280="",K280="",N280=""),"⚠ Champ obligatoire manquant",IF(AND(ISNUMBER(K280),ISNUMBER(J280),N(K280)&gt;N(J280)),"⚠ Prix Autopiec &gt; prix public",IF(COUNTIFS($A$2:$A$1001,A280,$B$2:$B$1001,B280)&gt;1,"⚠ Référence en double","✔ OK"))))</f>
        <v/>
      </c>
    </row>
    <row r="281" customFormat="false" ht="15" hidden="false" customHeight="false" outlineLevel="0" collapsed="false">
      <c r="A281" s="11"/>
      <c r="B281" s="27"/>
      <c r="C281" s="11"/>
      <c r="D281" s="11"/>
      <c r="E281" s="11"/>
      <c r="F281" s="27"/>
      <c r="G281" s="27"/>
      <c r="H281" s="11"/>
      <c r="I281" s="11"/>
      <c r="J281" s="12"/>
      <c r="K281" s="12"/>
      <c r="L281" s="28" t="str">
        <f aca="false">IF(AND(ISNUMBER(J281),ISNUMBER(K281),N(J281)&gt;0),1-K281/J281,"")</f>
        <v/>
      </c>
      <c r="M281" s="29"/>
      <c r="N281" s="30"/>
      <c r="O281" s="30"/>
      <c r="P281" s="11"/>
      <c r="Q281" s="31"/>
      <c r="R281" s="11"/>
      <c r="S281" s="11"/>
      <c r="T281" s="11"/>
      <c r="U281" s="32" t="str">
        <f aca="false">IF((LEN(A281)+LEN(B281)+LEN(C281)+LEN(D281)+LEN(E281)+LEN(F281)+LEN(G281)+LEN(H281)+LEN(I281)+LEN(J281)+LEN(K281)+LEN(M281)+LEN(N281)+LEN(O281)+LEN(P281)+LEN(Q281)+LEN(R281)+LEN(S281)+LEN(T281))=0,"",IF(OR(A281="",B281="",C281="",D281="",E281="",J281="",K281="",N281=""),"⚠ Champ obligatoire manquant",IF(AND(ISNUMBER(K281),ISNUMBER(J281),N(K281)&gt;N(J281)),"⚠ Prix Autopiec &gt; prix public",IF(COUNTIFS($A$2:$A$1001,A281,$B$2:$B$1001,B281)&gt;1,"⚠ Référence en double","✔ OK"))))</f>
        <v/>
      </c>
    </row>
    <row r="282" customFormat="false" ht="15" hidden="false" customHeight="false" outlineLevel="0" collapsed="false">
      <c r="A282" s="11"/>
      <c r="B282" s="27"/>
      <c r="C282" s="11"/>
      <c r="D282" s="11"/>
      <c r="E282" s="11"/>
      <c r="F282" s="27"/>
      <c r="G282" s="27"/>
      <c r="H282" s="11"/>
      <c r="I282" s="11"/>
      <c r="J282" s="12"/>
      <c r="K282" s="12"/>
      <c r="L282" s="28" t="str">
        <f aca="false">IF(AND(ISNUMBER(J282),ISNUMBER(K282),N(J282)&gt;0),1-K282/J282,"")</f>
        <v/>
      </c>
      <c r="M282" s="29"/>
      <c r="N282" s="30"/>
      <c r="O282" s="30"/>
      <c r="P282" s="11"/>
      <c r="Q282" s="31"/>
      <c r="R282" s="11"/>
      <c r="S282" s="11"/>
      <c r="T282" s="11"/>
      <c r="U282" s="32" t="str">
        <f aca="false">IF((LEN(A282)+LEN(B282)+LEN(C282)+LEN(D282)+LEN(E282)+LEN(F282)+LEN(G282)+LEN(H282)+LEN(I282)+LEN(J282)+LEN(K282)+LEN(M282)+LEN(N282)+LEN(O282)+LEN(P282)+LEN(Q282)+LEN(R282)+LEN(S282)+LEN(T282))=0,"",IF(OR(A282="",B282="",C282="",D282="",E282="",J282="",K282="",N282=""),"⚠ Champ obligatoire manquant",IF(AND(ISNUMBER(K282),ISNUMBER(J282),N(K282)&gt;N(J282)),"⚠ Prix Autopiec &gt; prix public",IF(COUNTIFS($A$2:$A$1001,A282,$B$2:$B$1001,B282)&gt;1,"⚠ Référence en double","✔ OK"))))</f>
        <v/>
      </c>
    </row>
    <row r="283" customFormat="false" ht="15" hidden="false" customHeight="false" outlineLevel="0" collapsed="false">
      <c r="A283" s="11"/>
      <c r="B283" s="27"/>
      <c r="C283" s="11"/>
      <c r="D283" s="11"/>
      <c r="E283" s="11"/>
      <c r="F283" s="27"/>
      <c r="G283" s="27"/>
      <c r="H283" s="11"/>
      <c r="I283" s="11"/>
      <c r="J283" s="12"/>
      <c r="K283" s="12"/>
      <c r="L283" s="28" t="str">
        <f aca="false">IF(AND(ISNUMBER(J283),ISNUMBER(K283),N(J283)&gt;0),1-K283/J283,"")</f>
        <v/>
      </c>
      <c r="M283" s="29"/>
      <c r="N283" s="30"/>
      <c r="O283" s="30"/>
      <c r="P283" s="11"/>
      <c r="Q283" s="31"/>
      <c r="R283" s="11"/>
      <c r="S283" s="11"/>
      <c r="T283" s="11"/>
      <c r="U283" s="32" t="str">
        <f aca="false">IF((LEN(A283)+LEN(B283)+LEN(C283)+LEN(D283)+LEN(E283)+LEN(F283)+LEN(G283)+LEN(H283)+LEN(I283)+LEN(J283)+LEN(K283)+LEN(M283)+LEN(N283)+LEN(O283)+LEN(P283)+LEN(Q283)+LEN(R283)+LEN(S283)+LEN(T283))=0,"",IF(OR(A283="",B283="",C283="",D283="",E283="",J283="",K283="",N283=""),"⚠ Champ obligatoire manquant",IF(AND(ISNUMBER(K283),ISNUMBER(J283),N(K283)&gt;N(J283)),"⚠ Prix Autopiec &gt; prix public",IF(COUNTIFS($A$2:$A$1001,A283,$B$2:$B$1001,B283)&gt;1,"⚠ Référence en double","✔ OK"))))</f>
        <v/>
      </c>
    </row>
    <row r="284" customFormat="false" ht="15" hidden="false" customHeight="false" outlineLevel="0" collapsed="false">
      <c r="A284" s="11"/>
      <c r="B284" s="27"/>
      <c r="C284" s="11"/>
      <c r="D284" s="11"/>
      <c r="E284" s="11"/>
      <c r="F284" s="27"/>
      <c r="G284" s="27"/>
      <c r="H284" s="11"/>
      <c r="I284" s="11"/>
      <c r="J284" s="12"/>
      <c r="K284" s="12"/>
      <c r="L284" s="28" t="str">
        <f aca="false">IF(AND(ISNUMBER(J284),ISNUMBER(K284),N(J284)&gt;0),1-K284/J284,"")</f>
        <v/>
      </c>
      <c r="M284" s="29"/>
      <c r="N284" s="30"/>
      <c r="O284" s="30"/>
      <c r="P284" s="11"/>
      <c r="Q284" s="31"/>
      <c r="R284" s="11"/>
      <c r="S284" s="11"/>
      <c r="T284" s="11"/>
      <c r="U284" s="32" t="str">
        <f aca="false">IF((LEN(A284)+LEN(B284)+LEN(C284)+LEN(D284)+LEN(E284)+LEN(F284)+LEN(G284)+LEN(H284)+LEN(I284)+LEN(J284)+LEN(K284)+LEN(M284)+LEN(N284)+LEN(O284)+LEN(P284)+LEN(Q284)+LEN(R284)+LEN(S284)+LEN(T284))=0,"",IF(OR(A284="",B284="",C284="",D284="",E284="",J284="",K284="",N284=""),"⚠ Champ obligatoire manquant",IF(AND(ISNUMBER(K284),ISNUMBER(J284),N(K284)&gt;N(J284)),"⚠ Prix Autopiec &gt; prix public",IF(COUNTIFS($A$2:$A$1001,A284,$B$2:$B$1001,B284)&gt;1,"⚠ Référence en double","✔ OK"))))</f>
        <v/>
      </c>
    </row>
    <row r="285" customFormat="false" ht="15" hidden="false" customHeight="false" outlineLevel="0" collapsed="false">
      <c r="A285" s="11"/>
      <c r="B285" s="27"/>
      <c r="C285" s="11"/>
      <c r="D285" s="11"/>
      <c r="E285" s="11"/>
      <c r="F285" s="27"/>
      <c r="G285" s="27"/>
      <c r="H285" s="11"/>
      <c r="I285" s="11"/>
      <c r="J285" s="12"/>
      <c r="K285" s="12"/>
      <c r="L285" s="28" t="str">
        <f aca="false">IF(AND(ISNUMBER(J285),ISNUMBER(K285),N(J285)&gt;0),1-K285/J285,"")</f>
        <v/>
      </c>
      <c r="M285" s="29"/>
      <c r="N285" s="30"/>
      <c r="O285" s="30"/>
      <c r="P285" s="11"/>
      <c r="Q285" s="31"/>
      <c r="R285" s="11"/>
      <c r="S285" s="11"/>
      <c r="T285" s="11"/>
      <c r="U285" s="32" t="str">
        <f aca="false">IF((LEN(A285)+LEN(B285)+LEN(C285)+LEN(D285)+LEN(E285)+LEN(F285)+LEN(G285)+LEN(H285)+LEN(I285)+LEN(J285)+LEN(K285)+LEN(M285)+LEN(N285)+LEN(O285)+LEN(P285)+LEN(Q285)+LEN(R285)+LEN(S285)+LEN(T285))=0,"",IF(OR(A285="",B285="",C285="",D285="",E285="",J285="",K285="",N285=""),"⚠ Champ obligatoire manquant",IF(AND(ISNUMBER(K285),ISNUMBER(J285),N(K285)&gt;N(J285)),"⚠ Prix Autopiec &gt; prix public",IF(COUNTIFS($A$2:$A$1001,A285,$B$2:$B$1001,B285)&gt;1,"⚠ Référence en double","✔ OK"))))</f>
        <v/>
      </c>
    </row>
    <row r="286" customFormat="false" ht="15" hidden="false" customHeight="false" outlineLevel="0" collapsed="false">
      <c r="A286" s="11"/>
      <c r="B286" s="27"/>
      <c r="C286" s="11"/>
      <c r="D286" s="11"/>
      <c r="E286" s="11"/>
      <c r="F286" s="27"/>
      <c r="G286" s="27"/>
      <c r="H286" s="11"/>
      <c r="I286" s="11"/>
      <c r="J286" s="12"/>
      <c r="K286" s="12"/>
      <c r="L286" s="28" t="str">
        <f aca="false">IF(AND(ISNUMBER(J286),ISNUMBER(K286),N(J286)&gt;0),1-K286/J286,"")</f>
        <v/>
      </c>
      <c r="M286" s="29"/>
      <c r="N286" s="30"/>
      <c r="O286" s="30"/>
      <c r="P286" s="11"/>
      <c r="Q286" s="31"/>
      <c r="R286" s="11"/>
      <c r="S286" s="11"/>
      <c r="T286" s="11"/>
      <c r="U286" s="32" t="str">
        <f aca="false">IF((LEN(A286)+LEN(B286)+LEN(C286)+LEN(D286)+LEN(E286)+LEN(F286)+LEN(G286)+LEN(H286)+LEN(I286)+LEN(J286)+LEN(K286)+LEN(M286)+LEN(N286)+LEN(O286)+LEN(P286)+LEN(Q286)+LEN(R286)+LEN(S286)+LEN(T286))=0,"",IF(OR(A286="",B286="",C286="",D286="",E286="",J286="",K286="",N286=""),"⚠ Champ obligatoire manquant",IF(AND(ISNUMBER(K286),ISNUMBER(J286),N(K286)&gt;N(J286)),"⚠ Prix Autopiec &gt; prix public",IF(COUNTIFS($A$2:$A$1001,A286,$B$2:$B$1001,B286)&gt;1,"⚠ Référence en double","✔ OK"))))</f>
        <v/>
      </c>
    </row>
    <row r="287" customFormat="false" ht="15" hidden="false" customHeight="false" outlineLevel="0" collapsed="false">
      <c r="A287" s="11"/>
      <c r="B287" s="27"/>
      <c r="C287" s="11"/>
      <c r="D287" s="11"/>
      <c r="E287" s="11"/>
      <c r="F287" s="27"/>
      <c r="G287" s="27"/>
      <c r="H287" s="11"/>
      <c r="I287" s="11"/>
      <c r="J287" s="12"/>
      <c r="K287" s="12"/>
      <c r="L287" s="28" t="str">
        <f aca="false">IF(AND(ISNUMBER(J287),ISNUMBER(K287),N(J287)&gt;0),1-K287/J287,"")</f>
        <v/>
      </c>
      <c r="M287" s="29"/>
      <c r="N287" s="30"/>
      <c r="O287" s="30"/>
      <c r="P287" s="11"/>
      <c r="Q287" s="31"/>
      <c r="R287" s="11"/>
      <c r="S287" s="11"/>
      <c r="T287" s="11"/>
      <c r="U287" s="32" t="str">
        <f aca="false">IF((LEN(A287)+LEN(B287)+LEN(C287)+LEN(D287)+LEN(E287)+LEN(F287)+LEN(G287)+LEN(H287)+LEN(I287)+LEN(J287)+LEN(K287)+LEN(M287)+LEN(N287)+LEN(O287)+LEN(P287)+LEN(Q287)+LEN(R287)+LEN(S287)+LEN(T287))=0,"",IF(OR(A287="",B287="",C287="",D287="",E287="",J287="",K287="",N287=""),"⚠ Champ obligatoire manquant",IF(AND(ISNUMBER(K287),ISNUMBER(J287),N(K287)&gt;N(J287)),"⚠ Prix Autopiec &gt; prix public",IF(COUNTIFS($A$2:$A$1001,A287,$B$2:$B$1001,B287)&gt;1,"⚠ Référence en double","✔ OK"))))</f>
        <v/>
      </c>
    </row>
    <row r="288" customFormat="false" ht="15" hidden="false" customHeight="false" outlineLevel="0" collapsed="false">
      <c r="A288" s="11"/>
      <c r="B288" s="27"/>
      <c r="C288" s="11"/>
      <c r="D288" s="11"/>
      <c r="E288" s="11"/>
      <c r="F288" s="27"/>
      <c r="G288" s="27"/>
      <c r="H288" s="11"/>
      <c r="I288" s="11"/>
      <c r="J288" s="12"/>
      <c r="K288" s="12"/>
      <c r="L288" s="28" t="str">
        <f aca="false">IF(AND(ISNUMBER(J288),ISNUMBER(K288),N(J288)&gt;0),1-K288/J288,"")</f>
        <v/>
      </c>
      <c r="M288" s="29"/>
      <c r="N288" s="30"/>
      <c r="O288" s="30"/>
      <c r="P288" s="11"/>
      <c r="Q288" s="31"/>
      <c r="R288" s="11"/>
      <c r="S288" s="11"/>
      <c r="T288" s="11"/>
      <c r="U288" s="32" t="str">
        <f aca="false">IF((LEN(A288)+LEN(B288)+LEN(C288)+LEN(D288)+LEN(E288)+LEN(F288)+LEN(G288)+LEN(H288)+LEN(I288)+LEN(J288)+LEN(K288)+LEN(M288)+LEN(N288)+LEN(O288)+LEN(P288)+LEN(Q288)+LEN(R288)+LEN(S288)+LEN(T288))=0,"",IF(OR(A288="",B288="",C288="",D288="",E288="",J288="",K288="",N288=""),"⚠ Champ obligatoire manquant",IF(AND(ISNUMBER(K288),ISNUMBER(J288),N(K288)&gt;N(J288)),"⚠ Prix Autopiec &gt; prix public",IF(COUNTIFS($A$2:$A$1001,A288,$B$2:$B$1001,B288)&gt;1,"⚠ Référence en double","✔ OK"))))</f>
        <v/>
      </c>
    </row>
    <row r="289" customFormat="false" ht="15" hidden="false" customHeight="false" outlineLevel="0" collapsed="false">
      <c r="A289" s="11"/>
      <c r="B289" s="27"/>
      <c r="C289" s="11"/>
      <c r="D289" s="11"/>
      <c r="E289" s="11"/>
      <c r="F289" s="27"/>
      <c r="G289" s="27"/>
      <c r="H289" s="11"/>
      <c r="I289" s="11"/>
      <c r="J289" s="12"/>
      <c r="K289" s="12"/>
      <c r="L289" s="28" t="str">
        <f aca="false">IF(AND(ISNUMBER(J289),ISNUMBER(K289),N(J289)&gt;0),1-K289/J289,"")</f>
        <v/>
      </c>
      <c r="M289" s="29"/>
      <c r="N289" s="30"/>
      <c r="O289" s="30"/>
      <c r="P289" s="11"/>
      <c r="Q289" s="31"/>
      <c r="R289" s="11"/>
      <c r="S289" s="11"/>
      <c r="T289" s="11"/>
      <c r="U289" s="32" t="str">
        <f aca="false">IF((LEN(A289)+LEN(B289)+LEN(C289)+LEN(D289)+LEN(E289)+LEN(F289)+LEN(G289)+LEN(H289)+LEN(I289)+LEN(J289)+LEN(K289)+LEN(M289)+LEN(N289)+LEN(O289)+LEN(P289)+LEN(Q289)+LEN(R289)+LEN(S289)+LEN(T289))=0,"",IF(OR(A289="",B289="",C289="",D289="",E289="",J289="",K289="",N289=""),"⚠ Champ obligatoire manquant",IF(AND(ISNUMBER(K289),ISNUMBER(J289),N(K289)&gt;N(J289)),"⚠ Prix Autopiec &gt; prix public",IF(COUNTIFS($A$2:$A$1001,A289,$B$2:$B$1001,B289)&gt;1,"⚠ Référence en double","✔ OK"))))</f>
        <v/>
      </c>
    </row>
    <row r="290" customFormat="false" ht="15" hidden="false" customHeight="false" outlineLevel="0" collapsed="false">
      <c r="A290" s="11"/>
      <c r="B290" s="27"/>
      <c r="C290" s="11"/>
      <c r="D290" s="11"/>
      <c r="E290" s="11"/>
      <c r="F290" s="27"/>
      <c r="G290" s="27"/>
      <c r="H290" s="11"/>
      <c r="I290" s="11"/>
      <c r="J290" s="12"/>
      <c r="K290" s="12"/>
      <c r="L290" s="28" t="str">
        <f aca="false">IF(AND(ISNUMBER(J290),ISNUMBER(K290),N(J290)&gt;0),1-K290/J290,"")</f>
        <v/>
      </c>
      <c r="M290" s="29"/>
      <c r="N290" s="30"/>
      <c r="O290" s="30"/>
      <c r="P290" s="11"/>
      <c r="Q290" s="31"/>
      <c r="R290" s="11"/>
      <c r="S290" s="11"/>
      <c r="T290" s="11"/>
      <c r="U290" s="32" t="str">
        <f aca="false">IF((LEN(A290)+LEN(B290)+LEN(C290)+LEN(D290)+LEN(E290)+LEN(F290)+LEN(G290)+LEN(H290)+LEN(I290)+LEN(J290)+LEN(K290)+LEN(M290)+LEN(N290)+LEN(O290)+LEN(P290)+LEN(Q290)+LEN(R290)+LEN(S290)+LEN(T290))=0,"",IF(OR(A290="",B290="",C290="",D290="",E290="",J290="",K290="",N290=""),"⚠ Champ obligatoire manquant",IF(AND(ISNUMBER(K290),ISNUMBER(J290),N(K290)&gt;N(J290)),"⚠ Prix Autopiec &gt; prix public",IF(COUNTIFS($A$2:$A$1001,A290,$B$2:$B$1001,B290)&gt;1,"⚠ Référence en double","✔ OK"))))</f>
        <v/>
      </c>
    </row>
    <row r="291" customFormat="false" ht="15" hidden="false" customHeight="false" outlineLevel="0" collapsed="false">
      <c r="A291" s="11"/>
      <c r="B291" s="27"/>
      <c r="C291" s="11"/>
      <c r="D291" s="11"/>
      <c r="E291" s="11"/>
      <c r="F291" s="27"/>
      <c r="G291" s="27"/>
      <c r="H291" s="11"/>
      <c r="I291" s="11"/>
      <c r="J291" s="12"/>
      <c r="K291" s="12"/>
      <c r="L291" s="28" t="str">
        <f aca="false">IF(AND(ISNUMBER(J291),ISNUMBER(K291),N(J291)&gt;0),1-K291/J291,"")</f>
        <v/>
      </c>
      <c r="M291" s="29"/>
      <c r="N291" s="30"/>
      <c r="O291" s="30"/>
      <c r="P291" s="11"/>
      <c r="Q291" s="31"/>
      <c r="R291" s="11"/>
      <c r="S291" s="11"/>
      <c r="T291" s="11"/>
      <c r="U291" s="32" t="str">
        <f aca="false">IF((LEN(A291)+LEN(B291)+LEN(C291)+LEN(D291)+LEN(E291)+LEN(F291)+LEN(G291)+LEN(H291)+LEN(I291)+LEN(J291)+LEN(K291)+LEN(M291)+LEN(N291)+LEN(O291)+LEN(P291)+LEN(Q291)+LEN(R291)+LEN(S291)+LEN(T291))=0,"",IF(OR(A291="",B291="",C291="",D291="",E291="",J291="",K291="",N291=""),"⚠ Champ obligatoire manquant",IF(AND(ISNUMBER(K291),ISNUMBER(J291),N(K291)&gt;N(J291)),"⚠ Prix Autopiec &gt; prix public",IF(COUNTIFS($A$2:$A$1001,A291,$B$2:$B$1001,B291)&gt;1,"⚠ Référence en double","✔ OK"))))</f>
        <v/>
      </c>
    </row>
    <row r="292" customFormat="false" ht="15" hidden="false" customHeight="false" outlineLevel="0" collapsed="false">
      <c r="A292" s="11"/>
      <c r="B292" s="27"/>
      <c r="C292" s="11"/>
      <c r="D292" s="11"/>
      <c r="E292" s="11"/>
      <c r="F292" s="27"/>
      <c r="G292" s="27"/>
      <c r="H292" s="11"/>
      <c r="I292" s="11"/>
      <c r="J292" s="12"/>
      <c r="K292" s="12"/>
      <c r="L292" s="28" t="str">
        <f aca="false">IF(AND(ISNUMBER(J292),ISNUMBER(K292),N(J292)&gt;0),1-K292/J292,"")</f>
        <v/>
      </c>
      <c r="M292" s="29"/>
      <c r="N292" s="30"/>
      <c r="O292" s="30"/>
      <c r="P292" s="11"/>
      <c r="Q292" s="31"/>
      <c r="R292" s="11"/>
      <c r="S292" s="11"/>
      <c r="T292" s="11"/>
      <c r="U292" s="32" t="str">
        <f aca="false">IF((LEN(A292)+LEN(B292)+LEN(C292)+LEN(D292)+LEN(E292)+LEN(F292)+LEN(G292)+LEN(H292)+LEN(I292)+LEN(J292)+LEN(K292)+LEN(M292)+LEN(N292)+LEN(O292)+LEN(P292)+LEN(Q292)+LEN(R292)+LEN(S292)+LEN(T292))=0,"",IF(OR(A292="",B292="",C292="",D292="",E292="",J292="",K292="",N292=""),"⚠ Champ obligatoire manquant",IF(AND(ISNUMBER(K292),ISNUMBER(J292),N(K292)&gt;N(J292)),"⚠ Prix Autopiec &gt; prix public",IF(COUNTIFS($A$2:$A$1001,A292,$B$2:$B$1001,B292)&gt;1,"⚠ Référence en double","✔ OK"))))</f>
        <v/>
      </c>
    </row>
    <row r="293" customFormat="false" ht="15" hidden="false" customHeight="false" outlineLevel="0" collapsed="false">
      <c r="A293" s="11"/>
      <c r="B293" s="27"/>
      <c r="C293" s="11"/>
      <c r="D293" s="11"/>
      <c r="E293" s="11"/>
      <c r="F293" s="27"/>
      <c r="G293" s="27"/>
      <c r="H293" s="11"/>
      <c r="I293" s="11"/>
      <c r="J293" s="12"/>
      <c r="K293" s="12"/>
      <c r="L293" s="28" t="str">
        <f aca="false">IF(AND(ISNUMBER(J293),ISNUMBER(K293),N(J293)&gt;0),1-K293/J293,"")</f>
        <v/>
      </c>
      <c r="M293" s="29"/>
      <c r="N293" s="30"/>
      <c r="O293" s="30"/>
      <c r="P293" s="11"/>
      <c r="Q293" s="31"/>
      <c r="R293" s="11"/>
      <c r="S293" s="11"/>
      <c r="T293" s="11"/>
      <c r="U293" s="32" t="str">
        <f aca="false">IF((LEN(A293)+LEN(B293)+LEN(C293)+LEN(D293)+LEN(E293)+LEN(F293)+LEN(G293)+LEN(H293)+LEN(I293)+LEN(J293)+LEN(K293)+LEN(M293)+LEN(N293)+LEN(O293)+LEN(P293)+LEN(Q293)+LEN(R293)+LEN(S293)+LEN(T293))=0,"",IF(OR(A293="",B293="",C293="",D293="",E293="",J293="",K293="",N293=""),"⚠ Champ obligatoire manquant",IF(AND(ISNUMBER(K293),ISNUMBER(J293),N(K293)&gt;N(J293)),"⚠ Prix Autopiec &gt; prix public",IF(COUNTIFS($A$2:$A$1001,A293,$B$2:$B$1001,B293)&gt;1,"⚠ Référence en double","✔ OK"))))</f>
        <v/>
      </c>
    </row>
    <row r="294" customFormat="false" ht="15" hidden="false" customHeight="false" outlineLevel="0" collapsed="false">
      <c r="A294" s="11"/>
      <c r="B294" s="27"/>
      <c r="C294" s="11"/>
      <c r="D294" s="11"/>
      <c r="E294" s="11"/>
      <c r="F294" s="27"/>
      <c r="G294" s="27"/>
      <c r="H294" s="11"/>
      <c r="I294" s="11"/>
      <c r="J294" s="12"/>
      <c r="K294" s="12"/>
      <c r="L294" s="28" t="str">
        <f aca="false">IF(AND(ISNUMBER(J294),ISNUMBER(K294),N(J294)&gt;0),1-K294/J294,"")</f>
        <v/>
      </c>
      <c r="M294" s="29"/>
      <c r="N294" s="30"/>
      <c r="O294" s="30"/>
      <c r="P294" s="11"/>
      <c r="Q294" s="31"/>
      <c r="R294" s="11"/>
      <c r="S294" s="11"/>
      <c r="T294" s="11"/>
      <c r="U294" s="32" t="str">
        <f aca="false">IF((LEN(A294)+LEN(B294)+LEN(C294)+LEN(D294)+LEN(E294)+LEN(F294)+LEN(G294)+LEN(H294)+LEN(I294)+LEN(J294)+LEN(K294)+LEN(M294)+LEN(N294)+LEN(O294)+LEN(P294)+LEN(Q294)+LEN(R294)+LEN(S294)+LEN(T294))=0,"",IF(OR(A294="",B294="",C294="",D294="",E294="",J294="",K294="",N294=""),"⚠ Champ obligatoire manquant",IF(AND(ISNUMBER(K294),ISNUMBER(J294),N(K294)&gt;N(J294)),"⚠ Prix Autopiec &gt; prix public",IF(COUNTIFS($A$2:$A$1001,A294,$B$2:$B$1001,B294)&gt;1,"⚠ Référence en double","✔ OK"))))</f>
        <v/>
      </c>
    </row>
    <row r="295" customFormat="false" ht="15" hidden="false" customHeight="false" outlineLevel="0" collapsed="false">
      <c r="A295" s="11"/>
      <c r="B295" s="27"/>
      <c r="C295" s="11"/>
      <c r="D295" s="11"/>
      <c r="E295" s="11"/>
      <c r="F295" s="27"/>
      <c r="G295" s="27"/>
      <c r="H295" s="11"/>
      <c r="I295" s="11"/>
      <c r="J295" s="12"/>
      <c r="K295" s="12"/>
      <c r="L295" s="28" t="str">
        <f aca="false">IF(AND(ISNUMBER(J295),ISNUMBER(K295),N(J295)&gt;0),1-K295/J295,"")</f>
        <v/>
      </c>
      <c r="M295" s="29"/>
      <c r="N295" s="30"/>
      <c r="O295" s="30"/>
      <c r="P295" s="11"/>
      <c r="Q295" s="31"/>
      <c r="R295" s="11"/>
      <c r="S295" s="11"/>
      <c r="T295" s="11"/>
      <c r="U295" s="32" t="str">
        <f aca="false">IF((LEN(A295)+LEN(B295)+LEN(C295)+LEN(D295)+LEN(E295)+LEN(F295)+LEN(G295)+LEN(H295)+LEN(I295)+LEN(J295)+LEN(K295)+LEN(M295)+LEN(N295)+LEN(O295)+LEN(P295)+LEN(Q295)+LEN(R295)+LEN(S295)+LEN(T295))=0,"",IF(OR(A295="",B295="",C295="",D295="",E295="",J295="",K295="",N295=""),"⚠ Champ obligatoire manquant",IF(AND(ISNUMBER(K295),ISNUMBER(J295),N(K295)&gt;N(J295)),"⚠ Prix Autopiec &gt; prix public",IF(COUNTIFS($A$2:$A$1001,A295,$B$2:$B$1001,B295)&gt;1,"⚠ Référence en double","✔ OK"))))</f>
        <v/>
      </c>
    </row>
    <row r="296" customFormat="false" ht="15" hidden="false" customHeight="false" outlineLevel="0" collapsed="false">
      <c r="A296" s="11"/>
      <c r="B296" s="27"/>
      <c r="C296" s="11"/>
      <c r="D296" s="11"/>
      <c r="E296" s="11"/>
      <c r="F296" s="27"/>
      <c r="G296" s="27"/>
      <c r="H296" s="11"/>
      <c r="I296" s="11"/>
      <c r="J296" s="12"/>
      <c r="K296" s="12"/>
      <c r="L296" s="28" t="str">
        <f aca="false">IF(AND(ISNUMBER(J296),ISNUMBER(K296),N(J296)&gt;0),1-K296/J296,"")</f>
        <v/>
      </c>
      <c r="M296" s="29"/>
      <c r="N296" s="30"/>
      <c r="O296" s="30"/>
      <c r="P296" s="11"/>
      <c r="Q296" s="31"/>
      <c r="R296" s="11"/>
      <c r="S296" s="11"/>
      <c r="T296" s="11"/>
      <c r="U296" s="32" t="str">
        <f aca="false">IF((LEN(A296)+LEN(B296)+LEN(C296)+LEN(D296)+LEN(E296)+LEN(F296)+LEN(G296)+LEN(H296)+LEN(I296)+LEN(J296)+LEN(K296)+LEN(M296)+LEN(N296)+LEN(O296)+LEN(P296)+LEN(Q296)+LEN(R296)+LEN(S296)+LEN(T296))=0,"",IF(OR(A296="",B296="",C296="",D296="",E296="",J296="",K296="",N296=""),"⚠ Champ obligatoire manquant",IF(AND(ISNUMBER(K296),ISNUMBER(J296),N(K296)&gt;N(J296)),"⚠ Prix Autopiec &gt; prix public",IF(COUNTIFS($A$2:$A$1001,A296,$B$2:$B$1001,B296)&gt;1,"⚠ Référence en double","✔ OK"))))</f>
        <v/>
      </c>
    </row>
    <row r="297" customFormat="false" ht="15" hidden="false" customHeight="false" outlineLevel="0" collapsed="false">
      <c r="A297" s="11"/>
      <c r="B297" s="27"/>
      <c r="C297" s="11"/>
      <c r="D297" s="11"/>
      <c r="E297" s="11"/>
      <c r="F297" s="27"/>
      <c r="G297" s="27"/>
      <c r="H297" s="11"/>
      <c r="I297" s="11"/>
      <c r="J297" s="12"/>
      <c r="K297" s="12"/>
      <c r="L297" s="28" t="str">
        <f aca="false">IF(AND(ISNUMBER(J297),ISNUMBER(K297),N(J297)&gt;0),1-K297/J297,"")</f>
        <v/>
      </c>
      <c r="M297" s="29"/>
      <c r="N297" s="30"/>
      <c r="O297" s="30"/>
      <c r="P297" s="11"/>
      <c r="Q297" s="31"/>
      <c r="R297" s="11"/>
      <c r="S297" s="11"/>
      <c r="T297" s="11"/>
      <c r="U297" s="32" t="str">
        <f aca="false">IF((LEN(A297)+LEN(B297)+LEN(C297)+LEN(D297)+LEN(E297)+LEN(F297)+LEN(G297)+LEN(H297)+LEN(I297)+LEN(J297)+LEN(K297)+LEN(M297)+LEN(N297)+LEN(O297)+LEN(P297)+LEN(Q297)+LEN(R297)+LEN(S297)+LEN(T297))=0,"",IF(OR(A297="",B297="",C297="",D297="",E297="",J297="",K297="",N297=""),"⚠ Champ obligatoire manquant",IF(AND(ISNUMBER(K297),ISNUMBER(J297),N(K297)&gt;N(J297)),"⚠ Prix Autopiec &gt; prix public",IF(COUNTIFS($A$2:$A$1001,A297,$B$2:$B$1001,B297)&gt;1,"⚠ Référence en double","✔ OK"))))</f>
        <v/>
      </c>
    </row>
    <row r="298" customFormat="false" ht="15" hidden="false" customHeight="false" outlineLevel="0" collapsed="false">
      <c r="A298" s="11"/>
      <c r="B298" s="27"/>
      <c r="C298" s="11"/>
      <c r="D298" s="11"/>
      <c r="E298" s="11"/>
      <c r="F298" s="27"/>
      <c r="G298" s="27"/>
      <c r="H298" s="11"/>
      <c r="I298" s="11"/>
      <c r="J298" s="12"/>
      <c r="K298" s="12"/>
      <c r="L298" s="28" t="str">
        <f aca="false">IF(AND(ISNUMBER(J298),ISNUMBER(K298),N(J298)&gt;0),1-K298/J298,"")</f>
        <v/>
      </c>
      <c r="M298" s="29"/>
      <c r="N298" s="30"/>
      <c r="O298" s="30"/>
      <c r="P298" s="11"/>
      <c r="Q298" s="31"/>
      <c r="R298" s="11"/>
      <c r="S298" s="11"/>
      <c r="T298" s="11"/>
      <c r="U298" s="32" t="str">
        <f aca="false">IF((LEN(A298)+LEN(B298)+LEN(C298)+LEN(D298)+LEN(E298)+LEN(F298)+LEN(G298)+LEN(H298)+LEN(I298)+LEN(J298)+LEN(K298)+LEN(M298)+LEN(N298)+LEN(O298)+LEN(P298)+LEN(Q298)+LEN(R298)+LEN(S298)+LEN(T298))=0,"",IF(OR(A298="",B298="",C298="",D298="",E298="",J298="",K298="",N298=""),"⚠ Champ obligatoire manquant",IF(AND(ISNUMBER(K298),ISNUMBER(J298),N(K298)&gt;N(J298)),"⚠ Prix Autopiec &gt; prix public",IF(COUNTIFS($A$2:$A$1001,A298,$B$2:$B$1001,B298)&gt;1,"⚠ Référence en double","✔ OK"))))</f>
        <v/>
      </c>
    </row>
    <row r="299" customFormat="false" ht="15" hidden="false" customHeight="false" outlineLevel="0" collapsed="false">
      <c r="A299" s="11"/>
      <c r="B299" s="27"/>
      <c r="C299" s="11"/>
      <c r="D299" s="11"/>
      <c r="E299" s="11"/>
      <c r="F299" s="27"/>
      <c r="G299" s="27"/>
      <c r="H299" s="11"/>
      <c r="I299" s="11"/>
      <c r="J299" s="12"/>
      <c r="K299" s="12"/>
      <c r="L299" s="28" t="str">
        <f aca="false">IF(AND(ISNUMBER(J299),ISNUMBER(K299),N(J299)&gt;0),1-K299/J299,"")</f>
        <v/>
      </c>
      <c r="M299" s="29"/>
      <c r="N299" s="30"/>
      <c r="O299" s="30"/>
      <c r="P299" s="11"/>
      <c r="Q299" s="31"/>
      <c r="R299" s="11"/>
      <c r="S299" s="11"/>
      <c r="T299" s="11"/>
      <c r="U299" s="32" t="str">
        <f aca="false">IF((LEN(A299)+LEN(B299)+LEN(C299)+LEN(D299)+LEN(E299)+LEN(F299)+LEN(G299)+LEN(H299)+LEN(I299)+LEN(J299)+LEN(K299)+LEN(M299)+LEN(N299)+LEN(O299)+LEN(P299)+LEN(Q299)+LEN(R299)+LEN(S299)+LEN(T299))=0,"",IF(OR(A299="",B299="",C299="",D299="",E299="",J299="",K299="",N299=""),"⚠ Champ obligatoire manquant",IF(AND(ISNUMBER(K299),ISNUMBER(J299),N(K299)&gt;N(J299)),"⚠ Prix Autopiec &gt; prix public",IF(COUNTIFS($A$2:$A$1001,A299,$B$2:$B$1001,B299)&gt;1,"⚠ Référence en double","✔ OK"))))</f>
        <v/>
      </c>
    </row>
    <row r="300" customFormat="false" ht="15" hidden="false" customHeight="false" outlineLevel="0" collapsed="false">
      <c r="A300" s="11"/>
      <c r="B300" s="27"/>
      <c r="C300" s="11"/>
      <c r="D300" s="11"/>
      <c r="E300" s="11"/>
      <c r="F300" s="27"/>
      <c r="G300" s="27"/>
      <c r="H300" s="11"/>
      <c r="I300" s="11"/>
      <c r="J300" s="12"/>
      <c r="K300" s="12"/>
      <c r="L300" s="28" t="str">
        <f aca="false">IF(AND(ISNUMBER(J300),ISNUMBER(K300),N(J300)&gt;0),1-K300/J300,"")</f>
        <v/>
      </c>
      <c r="M300" s="29"/>
      <c r="N300" s="30"/>
      <c r="O300" s="30"/>
      <c r="P300" s="11"/>
      <c r="Q300" s="31"/>
      <c r="R300" s="11"/>
      <c r="S300" s="11"/>
      <c r="T300" s="11"/>
      <c r="U300" s="32" t="str">
        <f aca="false">IF((LEN(A300)+LEN(B300)+LEN(C300)+LEN(D300)+LEN(E300)+LEN(F300)+LEN(G300)+LEN(H300)+LEN(I300)+LEN(J300)+LEN(K300)+LEN(M300)+LEN(N300)+LEN(O300)+LEN(P300)+LEN(Q300)+LEN(R300)+LEN(S300)+LEN(T300))=0,"",IF(OR(A300="",B300="",C300="",D300="",E300="",J300="",K300="",N300=""),"⚠ Champ obligatoire manquant",IF(AND(ISNUMBER(K300),ISNUMBER(J300),N(K300)&gt;N(J300)),"⚠ Prix Autopiec &gt; prix public",IF(COUNTIFS($A$2:$A$1001,A300,$B$2:$B$1001,B300)&gt;1,"⚠ Référence en double","✔ OK"))))</f>
        <v/>
      </c>
    </row>
    <row r="301" customFormat="false" ht="15" hidden="false" customHeight="false" outlineLevel="0" collapsed="false">
      <c r="A301" s="11"/>
      <c r="B301" s="27"/>
      <c r="C301" s="11"/>
      <c r="D301" s="11"/>
      <c r="E301" s="11"/>
      <c r="F301" s="27"/>
      <c r="G301" s="27"/>
      <c r="H301" s="11"/>
      <c r="I301" s="11"/>
      <c r="J301" s="12"/>
      <c r="K301" s="12"/>
      <c r="L301" s="28" t="str">
        <f aca="false">IF(AND(ISNUMBER(J301),ISNUMBER(K301),N(J301)&gt;0),1-K301/J301,"")</f>
        <v/>
      </c>
      <c r="M301" s="29"/>
      <c r="N301" s="30"/>
      <c r="O301" s="30"/>
      <c r="P301" s="11"/>
      <c r="Q301" s="31"/>
      <c r="R301" s="11"/>
      <c r="S301" s="11"/>
      <c r="T301" s="11"/>
      <c r="U301" s="32" t="str">
        <f aca="false">IF((LEN(A301)+LEN(B301)+LEN(C301)+LEN(D301)+LEN(E301)+LEN(F301)+LEN(G301)+LEN(H301)+LEN(I301)+LEN(J301)+LEN(K301)+LEN(M301)+LEN(N301)+LEN(O301)+LEN(P301)+LEN(Q301)+LEN(R301)+LEN(S301)+LEN(T301))=0,"",IF(OR(A301="",B301="",C301="",D301="",E301="",J301="",K301="",N301=""),"⚠ Champ obligatoire manquant",IF(AND(ISNUMBER(K301),ISNUMBER(J301),N(K301)&gt;N(J301)),"⚠ Prix Autopiec &gt; prix public",IF(COUNTIFS($A$2:$A$1001,A301,$B$2:$B$1001,B301)&gt;1,"⚠ Référence en double","✔ OK"))))</f>
        <v/>
      </c>
    </row>
    <row r="302" customFormat="false" ht="15" hidden="false" customHeight="false" outlineLevel="0" collapsed="false">
      <c r="A302" s="11"/>
      <c r="B302" s="27"/>
      <c r="C302" s="11"/>
      <c r="D302" s="11"/>
      <c r="E302" s="11"/>
      <c r="F302" s="27"/>
      <c r="G302" s="27"/>
      <c r="H302" s="11"/>
      <c r="I302" s="11"/>
      <c r="J302" s="12"/>
      <c r="K302" s="12"/>
      <c r="L302" s="28" t="str">
        <f aca="false">IF(AND(ISNUMBER(J302),ISNUMBER(K302),N(J302)&gt;0),1-K302/J302,"")</f>
        <v/>
      </c>
      <c r="M302" s="29"/>
      <c r="N302" s="30"/>
      <c r="O302" s="30"/>
      <c r="P302" s="11"/>
      <c r="Q302" s="31"/>
      <c r="R302" s="11"/>
      <c r="S302" s="11"/>
      <c r="T302" s="11"/>
      <c r="U302" s="32" t="str">
        <f aca="false">IF((LEN(A302)+LEN(B302)+LEN(C302)+LEN(D302)+LEN(E302)+LEN(F302)+LEN(G302)+LEN(H302)+LEN(I302)+LEN(J302)+LEN(K302)+LEN(M302)+LEN(N302)+LEN(O302)+LEN(P302)+LEN(Q302)+LEN(R302)+LEN(S302)+LEN(T302))=0,"",IF(OR(A302="",B302="",C302="",D302="",E302="",J302="",K302="",N302=""),"⚠ Champ obligatoire manquant",IF(AND(ISNUMBER(K302),ISNUMBER(J302),N(K302)&gt;N(J302)),"⚠ Prix Autopiec &gt; prix public",IF(COUNTIFS($A$2:$A$1001,A302,$B$2:$B$1001,B302)&gt;1,"⚠ Référence en double","✔ OK"))))</f>
        <v/>
      </c>
    </row>
    <row r="303" customFormat="false" ht="15" hidden="false" customHeight="false" outlineLevel="0" collapsed="false">
      <c r="A303" s="11"/>
      <c r="B303" s="27"/>
      <c r="C303" s="11"/>
      <c r="D303" s="11"/>
      <c r="E303" s="11"/>
      <c r="F303" s="27"/>
      <c r="G303" s="27"/>
      <c r="H303" s="11"/>
      <c r="I303" s="11"/>
      <c r="J303" s="12"/>
      <c r="K303" s="12"/>
      <c r="L303" s="28" t="str">
        <f aca="false">IF(AND(ISNUMBER(J303),ISNUMBER(K303),N(J303)&gt;0),1-K303/J303,"")</f>
        <v/>
      </c>
      <c r="M303" s="29"/>
      <c r="N303" s="30"/>
      <c r="O303" s="30"/>
      <c r="P303" s="11"/>
      <c r="Q303" s="31"/>
      <c r="R303" s="11"/>
      <c r="S303" s="11"/>
      <c r="T303" s="11"/>
      <c r="U303" s="32" t="str">
        <f aca="false">IF((LEN(A303)+LEN(B303)+LEN(C303)+LEN(D303)+LEN(E303)+LEN(F303)+LEN(G303)+LEN(H303)+LEN(I303)+LEN(J303)+LEN(K303)+LEN(M303)+LEN(N303)+LEN(O303)+LEN(P303)+LEN(Q303)+LEN(R303)+LEN(S303)+LEN(T303))=0,"",IF(OR(A303="",B303="",C303="",D303="",E303="",J303="",K303="",N303=""),"⚠ Champ obligatoire manquant",IF(AND(ISNUMBER(K303),ISNUMBER(J303),N(K303)&gt;N(J303)),"⚠ Prix Autopiec &gt; prix public",IF(COUNTIFS($A$2:$A$1001,A303,$B$2:$B$1001,B303)&gt;1,"⚠ Référence en double","✔ OK"))))</f>
        <v/>
      </c>
    </row>
    <row r="304" customFormat="false" ht="15" hidden="false" customHeight="false" outlineLevel="0" collapsed="false">
      <c r="A304" s="11"/>
      <c r="B304" s="27"/>
      <c r="C304" s="11"/>
      <c r="D304" s="11"/>
      <c r="E304" s="11"/>
      <c r="F304" s="27"/>
      <c r="G304" s="27"/>
      <c r="H304" s="11"/>
      <c r="I304" s="11"/>
      <c r="J304" s="12"/>
      <c r="K304" s="12"/>
      <c r="L304" s="28" t="str">
        <f aca="false">IF(AND(ISNUMBER(J304),ISNUMBER(K304),N(J304)&gt;0),1-K304/J304,"")</f>
        <v/>
      </c>
      <c r="M304" s="29"/>
      <c r="N304" s="30"/>
      <c r="O304" s="30"/>
      <c r="P304" s="11"/>
      <c r="Q304" s="31"/>
      <c r="R304" s="11"/>
      <c r="S304" s="11"/>
      <c r="T304" s="11"/>
      <c r="U304" s="32" t="str">
        <f aca="false">IF((LEN(A304)+LEN(B304)+LEN(C304)+LEN(D304)+LEN(E304)+LEN(F304)+LEN(G304)+LEN(H304)+LEN(I304)+LEN(J304)+LEN(K304)+LEN(M304)+LEN(N304)+LEN(O304)+LEN(P304)+LEN(Q304)+LEN(R304)+LEN(S304)+LEN(T304))=0,"",IF(OR(A304="",B304="",C304="",D304="",E304="",J304="",K304="",N304=""),"⚠ Champ obligatoire manquant",IF(AND(ISNUMBER(K304),ISNUMBER(J304),N(K304)&gt;N(J304)),"⚠ Prix Autopiec &gt; prix public",IF(COUNTIFS($A$2:$A$1001,A304,$B$2:$B$1001,B304)&gt;1,"⚠ Référence en double","✔ OK"))))</f>
        <v/>
      </c>
    </row>
    <row r="305" customFormat="false" ht="15" hidden="false" customHeight="false" outlineLevel="0" collapsed="false">
      <c r="A305" s="11"/>
      <c r="B305" s="27"/>
      <c r="C305" s="11"/>
      <c r="D305" s="11"/>
      <c r="E305" s="11"/>
      <c r="F305" s="27"/>
      <c r="G305" s="27"/>
      <c r="H305" s="11"/>
      <c r="I305" s="11"/>
      <c r="J305" s="12"/>
      <c r="K305" s="12"/>
      <c r="L305" s="28" t="str">
        <f aca="false">IF(AND(ISNUMBER(J305),ISNUMBER(K305),N(J305)&gt;0),1-K305/J305,"")</f>
        <v/>
      </c>
      <c r="M305" s="29"/>
      <c r="N305" s="30"/>
      <c r="O305" s="30"/>
      <c r="P305" s="11"/>
      <c r="Q305" s="31"/>
      <c r="R305" s="11"/>
      <c r="S305" s="11"/>
      <c r="T305" s="11"/>
      <c r="U305" s="32" t="str">
        <f aca="false">IF((LEN(A305)+LEN(B305)+LEN(C305)+LEN(D305)+LEN(E305)+LEN(F305)+LEN(G305)+LEN(H305)+LEN(I305)+LEN(J305)+LEN(K305)+LEN(M305)+LEN(N305)+LEN(O305)+LEN(P305)+LEN(Q305)+LEN(R305)+LEN(S305)+LEN(T305))=0,"",IF(OR(A305="",B305="",C305="",D305="",E305="",J305="",K305="",N305=""),"⚠ Champ obligatoire manquant",IF(AND(ISNUMBER(K305),ISNUMBER(J305),N(K305)&gt;N(J305)),"⚠ Prix Autopiec &gt; prix public",IF(COUNTIFS($A$2:$A$1001,A305,$B$2:$B$1001,B305)&gt;1,"⚠ Référence en double","✔ OK"))))</f>
        <v/>
      </c>
    </row>
    <row r="306" customFormat="false" ht="15" hidden="false" customHeight="false" outlineLevel="0" collapsed="false">
      <c r="A306" s="11"/>
      <c r="B306" s="27"/>
      <c r="C306" s="11"/>
      <c r="D306" s="11"/>
      <c r="E306" s="11"/>
      <c r="F306" s="27"/>
      <c r="G306" s="27"/>
      <c r="H306" s="11"/>
      <c r="I306" s="11"/>
      <c r="J306" s="12"/>
      <c r="K306" s="12"/>
      <c r="L306" s="28" t="str">
        <f aca="false">IF(AND(ISNUMBER(J306),ISNUMBER(K306),N(J306)&gt;0),1-K306/J306,"")</f>
        <v/>
      </c>
      <c r="M306" s="29"/>
      <c r="N306" s="30"/>
      <c r="O306" s="30"/>
      <c r="P306" s="11"/>
      <c r="Q306" s="31"/>
      <c r="R306" s="11"/>
      <c r="S306" s="11"/>
      <c r="T306" s="11"/>
      <c r="U306" s="32" t="str">
        <f aca="false">IF((LEN(A306)+LEN(B306)+LEN(C306)+LEN(D306)+LEN(E306)+LEN(F306)+LEN(G306)+LEN(H306)+LEN(I306)+LEN(J306)+LEN(K306)+LEN(M306)+LEN(N306)+LEN(O306)+LEN(P306)+LEN(Q306)+LEN(R306)+LEN(S306)+LEN(T306))=0,"",IF(OR(A306="",B306="",C306="",D306="",E306="",J306="",K306="",N306=""),"⚠ Champ obligatoire manquant",IF(AND(ISNUMBER(K306),ISNUMBER(J306),N(K306)&gt;N(J306)),"⚠ Prix Autopiec &gt; prix public",IF(COUNTIFS($A$2:$A$1001,A306,$B$2:$B$1001,B306)&gt;1,"⚠ Référence en double","✔ OK"))))</f>
        <v/>
      </c>
    </row>
    <row r="307" customFormat="false" ht="15" hidden="false" customHeight="false" outlineLevel="0" collapsed="false">
      <c r="A307" s="11"/>
      <c r="B307" s="27"/>
      <c r="C307" s="11"/>
      <c r="D307" s="11"/>
      <c r="E307" s="11"/>
      <c r="F307" s="27"/>
      <c r="G307" s="27"/>
      <c r="H307" s="11"/>
      <c r="I307" s="11"/>
      <c r="J307" s="12"/>
      <c r="K307" s="12"/>
      <c r="L307" s="28" t="str">
        <f aca="false">IF(AND(ISNUMBER(J307),ISNUMBER(K307),N(J307)&gt;0),1-K307/J307,"")</f>
        <v/>
      </c>
      <c r="M307" s="29"/>
      <c r="N307" s="30"/>
      <c r="O307" s="30"/>
      <c r="P307" s="11"/>
      <c r="Q307" s="31"/>
      <c r="R307" s="11"/>
      <c r="S307" s="11"/>
      <c r="T307" s="11"/>
      <c r="U307" s="32" t="str">
        <f aca="false">IF((LEN(A307)+LEN(B307)+LEN(C307)+LEN(D307)+LEN(E307)+LEN(F307)+LEN(G307)+LEN(H307)+LEN(I307)+LEN(J307)+LEN(K307)+LEN(M307)+LEN(N307)+LEN(O307)+LEN(P307)+LEN(Q307)+LEN(R307)+LEN(S307)+LEN(T307))=0,"",IF(OR(A307="",B307="",C307="",D307="",E307="",J307="",K307="",N307=""),"⚠ Champ obligatoire manquant",IF(AND(ISNUMBER(K307),ISNUMBER(J307),N(K307)&gt;N(J307)),"⚠ Prix Autopiec &gt; prix public",IF(COUNTIFS($A$2:$A$1001,A307,$B$2:$B$1001,B307)&gt;1,"⚠ Référence en double","✔ OK"))))</f>
        <v/>
      </c>
    </row>
    <row r="308" customFormat="false" ht="15" hidden="false" customHeight="false" outlineLevel="0" collapsed="false">
      <c r="A308" s="11"/>
      <c r="B308" s="27"/>
      <c r="C308" s="11"/>
      <c r="D308" s="11"/>
      <c r="E308" s="11"/>
      <c r="F308" s="27"/>
      <c r="G308" s="27"/>
      <c r="H308" s="11"/>
      <c r="I308" s="11"/>
      <c r="J308" s="12"/>
      <c r="K308" s="12"/>
      <c r="L308" s="28" t="str">
        <f aca="false">IF(AND(ISNUMBER(J308),ISNUMBER(K308),N(J308)&gt;0),1-K308/J308,"")</f>
        <v/>
      </c>
      <c r="M308" s="29"/>
      <c r="N308" s="30"/>
      <c r="O308" s="30"/>
      <c r="P308" s="11"/>
      <c r="Q308" s="31"/>
      <c r="R308" s="11"/>
      <c r="S308" s="11"/>
      <c r="T308" s="11"/>
      <c r="U308" s="32" t="str">
        <f aca="false">IF((LEN(A308)+LEN(B308)+LEN(C308)+LEN(D308)+LEN(E308)+LEN(F308)+LEN(G308)+LEN(H308)+LEN(I308)+LEN(J308)+LEN(K308)+LEN(M308)+LEN(N308)+LEN(O308)+LEN(P308)+LEN(Q308)+LEN(R308)+LEN(S308)+LEN(T308))=0,"",IF(OR(A308="",B308="",C308="",D308="",E308="",J308="",K308="",N308=""),"⚠ Champ obligatoire manquant",IF(AND(ISNUMBER(K308),ISNUMBER(J308),N(K308)&gt;N(J308)),"⚠ Prix Autopiec &gt; prix public",IF(COUNTIFS($A$2:$A$1001,A308,$B$2:$B$1001,B308)&gt;1,"⚠ Référence en double","✔ OK"))))</f>
        <v/>
      </c>
    </row>
    <row r="309" customFormat="false" ht="15" hidden="false" customHeight="false" outlineLevel="0" collapsed="false">
      <c r="A309" s="11"/>
      <c r="B309" s="27"/>
      <c r="C309" s="11"/>
      <c r="D309" s="11"/>
      <c r="E309" s="11"/>
      <c r="F309" s="27"/>
      <c r="G309" s="27"/>
      <c r="H309" s="11"/>
      <c r="I309" s="11"/>
      <c r="J309" s="12"/>
      <c r="K309" s="12"/>
      <c r="L309" s="28" t="str">
        <f aca="false">IF(AND(ISNUMBER(J309),ISNUMBER(K309),N(J309)&gt;0),1-K309/J309,"")</f>
        <v/>
      </c>
      <c r="M309" s="29"/>
      <c r="N309" s="30"/>
      <c r="O309" s="30"/>
      <c r="P309" s="11"/>
      <c r="Q309" s="31"/>
      <c r="R309" s="11"/>
      <c r="S309" s="11"/>
      <c r="T309" s="11"/>
      <c r="U309" s="32" t="str">
        <f aca="false">IF((LEN(A309)+LEN(B309)+LEN(C309)+LEN(D309)+LEN(E309)+LEN(F309)+LEN(G309)+LEN(H309)+LEN(I309)+LEN(J309)+LEN(K309)+LEN(M309)+LEN(N309)+LEN(O309)+LEN(P309)+LEN(Q309)+LEN(R309)+LEN(S309)+LEN(T309))=0,"",IF(OR(A309="",B309="",C309="",D309="",E309="",J309="",K309="",N309=""),"⚠ Champ obligatoire manquant",IF(AND(ISNUMBER(K309),ISNUMBER(J309),N(K309)&gt;N(J309)),"⚠ Prix Autopiec &gt; prix public",IF(COUNTIFS($A$2:$A$1001,A309,$B$2:$B$1001,B309)&gt;1,"⚠ Référence en double","✔ OK"))))</f>
        <v/>
      </c>
    </row>
    <row r="310" customFormat="false" ht="15" hidden="false" customHeight="false" outlineLevel="0" collapsed="false">
      <c r="A310" s="11"/>
      <c r="B310" s="27"/>
      <c r="C310" s="11"/>
      <c r="D310" s="11"/>
      <c r="E310" s="11"/>
      <c r="F310" s="27"/>
      <c r="G310" s="27"/>
      <c r="H310" s="11"/>
      <c r="I310" s="11"/>
      <c r="J310" s="12"/>
      <c r="K310" s="12"/>
      <c r="L310" s="28" t="str">
        <f aca="false">IF(AND(ISNUMBER(J310),ISNUMBER(K310),N(J310)&gt;0),1-K310/J310,"")</f>
        <v/>
      </c>
      <c r="M310" s="29"/>
      <c r="N310" s="30"/>
      <c r="O310" s="30"/>
      <c r="P310" s="11"/>
      <c r="Q310" s="31"/>
      <c r="R310" s="11"/>
      <c r="S310" s="11"/>
      <c r="T310" s="11"/>
      <c r="U310" s="32" t="str">
        <f aca="false">IF((LEN(A310)+LEN(B310)+LEN(C310)+LEN(D310)+LEN(E310)+LEN(F310)+LEN(G310)+LEN(H310)+LEN(I310)+LEN(J310)+LEN(K310)+LEN(M310)+LEN(N310)+LEN(O310)+LEN(P310)+LEN(Q310)+LEN(R310)+LEN(S310)+LEN(T310))=0,"",IF(OR(A310="",B310="",C310="",D310="",E310="",J310="",K310="",N310=""),"⚠ Champ obligatoire manquant",IF(AND(ISNUMBER(K310),ISNUMBER(J310),N(K310)&gt;N(J310)),"⚠ Prix Autopiec &gt; prix public",IF(COUNTIFS($A$2:$A$1001,A310,$B$2:$B$1001,B310)&gt;1,"⚠ Référence en double","✔ OK"))))</f>
        <v/>
      </c>
    </row>
    <row r="311" customFormat="false" ht="15" hidden="false" customHeight="false" outlineLevel="0" collapsed="false">
      <c r="A311" s="11"/>
      <c r="B311" s="27"/>
      <c r="C311" s="11"/>
      <c r="D311" s="11"/>
      <c r="E311" s="11"/>
      <c r="F311" s="27"/>
      <c r="G311" s="27"/>
      <c r="H311" s="11"/>
      <c r="I311" s="11"/>
      <c r="J311" s="12"/>
      <c r="K311" s="12"/>
      <c r="L311" s="28" t="str">
        <f aca="false">IF(AND(ISNUMBER(J311),ISNUMBER(K311),N(J311)&gt;0),1-K311/J311,"")</f>
        <v/>
      </c>
      <c r="M311" s="29"/>
      <c r="N311" s="30"/>
      <c r="O311" s="30"/>
      <c r="P311" s="11"/>
      <c r="Q311" s="31"/>
      <c r="R311" s="11"/>
      <c r="S311" s="11"/>
      <c r="T311" s="11"/>
      <c r="U311" s="32" t="str">
        <f aca="false">IF((LEN(A311)+LEN(B311)+LEN(C311)+LEN(D311)+LEN(E311)+LEN(F311)+LEN(G311)+LEN(H311)+LEN(I311)+LEN(J311)+LEN(K311)+LEN(M311)+LEN(N311)+LEN(O311)+LEN(P311)+LEN(Q311)+LEN(R311)+LEN(S311)+LEN(T311))=0,"",IF(OR(A311="",B311="",C311="",D311="",E311="",J311="",K311="",N311=""),"⚠ Champ obligatoire manquant",IF(AND(ISNUMBER(K311),ISNUMBER(J311),N(K311)&gt;N(J311)),"⚠ Prix Autopiec &gt; prix public",IF(COUNTIFS($A$2:$A$1001,A311,$B$2:$B$1001,B311)&gt;1,"⚠ Référence en double","✔ OK"))))</f>
        <v/>
      </c>
    </row>
    <row r="312" customFormat="false" ht="15" hidden="false" customHeight="false" outlineLevel="0" collapsed="false">
      <c r="A312" s="11"/>
      <c r="B312" s="27"/>
      <c r="C312" s="11"/>
      <c r="D312" s="11"/>
      <c r="E312" s="11"/>
      <c r="F312" s="27"/>
      <c r="G312" s="27"/>
      <c r="H312" s="11"/>
      <c r="I312" s="11"/>
      <c r="J312" s="12"/>
      <c r="K312" s="12"/>
      <c r="L312" s="28" t="str">
        <f aca="false">IF(AND(ISNUMBER(J312),ISNUMBER(K312),N(J312)&gt;0),1-K312/J312,"")</f>
        <v/>
      </c>
      <c r="M312" s="29"/>
      <c r="N312" s="30"/>
      <c r="O312" s="30"/>
      <c r="P312" s="11"/>
      <c r="Q312" s="31"/>
      <c r="R312" s="11"/>
      <c r="S312" s="11"/>
      <c r="T312" s="11"/>
      <c r="U312" s="32" t="str">
        <f aca="false">IF((LEN(A312)+LEN(B312)+LEN(C312)+LEN(D312)+LEN(E312)+LEN(F312)+LEN(G312)+LEN(H312)+LEN(I312)+LEN(J312)+LEN(K312)+LEN(M312)+LEN(N312)+LEN(O312)+LEN(P312)+LEN(Q312)+LEN(R312)+LEN(S312)+LEN(T312))=0,"",IF(OR(A312="",B312="",C312="",D312="",E312="",J312="",K312="",N312=""),"⚠ Champ obligatoire manquant",IF(AND(ISNUMBER(K312),ISNUMBER(J312),N(K312)&gt;N(J312)),"⚠ Prix Autopiec &gt; prix public",IF(COUNTIFS($A$2:$A$1001,A312,$B$2:$B$1001,B312)&gt;1,"⚠ Référence en double","✔ OK"))))</f>
        <v/>
      </c>
    </row>
    <row r="313" customFormat="false" ht="15" hidden="false" customHeight="false" outlineLevel="0" collapsed="false">
      <c r="A313" s="11"/>
      <c r="B313" s="27"/>
      <c r="C313" s="11"/>
      <c r="D313" s="11"/>
      <c r="E313" s="11"/>
      <c r="F313" s="27"/>
      <c r="G313" s="27"/>
      <c r="H313" s="11"/>
      <c r="I313" s="11"/>
      <c r="J313" s="12"/>
      <c r="K313" s="12"/>
      <c r="L313" s="28" t="str">
        <f aca="false">IF(AND(ISNUMBER(J313),ISNUMBER(K313),N(J313)&gt;0),1-K313/J313,"")</f>
        <v/>
      </c>
      <c r="M313" s="29"/>
      <c r="N313" s="30"/>
      <c r="O313" s="30"/>
      <c r="P313" s="11"/>
      <c r="Q313" s="31"/>
      <c r="R313" s="11"/>
      <c r="S313" s="11"/>
      <c r="T313" s="11"/>
      <c r="U313" s="32" t="str">
        <f aca="false">IF((LEN(A313)+LEN(B313)+LEN(C313)+LEN(D313)+LEN(E313)+LEN(F313)+LEN(G313)+LEN(H313)+LEN(I313)+LEN(J313)+LEN(K313)+LEN(M313)+LEN(N313)+LEN(O313)+LEN(P313)+LEN(Q313)+LEN(R313)+LEN(S313)+LEN(T313))=0,"",IF(OR(A313="",B313="",C313="",D313="",E313="",J313="",K313="",N313=""),"⚠ Champ obligatoire manquant",IF(AND(ISNUMBER(K313),ISNUMBER(J313),N(K313)&gt;N(J313)),"⚠ Prix Autopiec &gt; prix public",IF(COUNTIFS($A$2:$A$1001,A313,$B$2:$B$1001,B313)&gt;1,"⚠ Référence en double","✔ OK"))))</f>
        <v/>
      </c>
    </row>
    <row r="314" customFormat="false" ht="15" hidden="false" customHeight="false" outlineLevel="0" collapsed="false">
      <c r="A314" s="11"/>
      <c r="B314" s="27"/>
      <c r="C314" s="11"/>
      <c r="D314" s="11"/>
      <c r="E314" s="11"/>
      <c r="F314" s="27"/>
      <c r="G314" s="27"/>
      <c r="H314" s="11"/>
      <c r="I314" s="11"/>
      <c r="J314" s="12"/>
      <c r="K314" s="12"/>
      <c r="L314" s="28" t="str">
        <f aca="false">IF(AND(ISNUMBER(J314),ISNUMBER(K314),N(J314)&gt;0),1-K314/J314,"")</f>
        <v/>
      </c>
      <c r="M314" s="29"/>
      <c r="N314" s="30"/>
      <c r="O314" s="30"/>
      <c r="P314" s="11"/>
      <c r="Q314" s="31"/>
      <c r="R314" s="11"/>
      <c r="S314" s="11"/>
      <c r="T314" s="11"/>
      <c r="U314" s="32" t="str">
        <f aca="false">IF((LEN(A314)+LEN(B314)+LEN(C314)+LEN(D314)+LEN(E314)+LEN(F314)+LEN(G314)+LEN(H314)+LEN(I314)+LEN(J314)+LEN(K314)+LEN(M314)+LEN(N314)+LEN(O314)+LEN(P314)+LEN(Q314)+LEN(R314)+LEN(S314)+LEN(T314))=0,"",IF(OR(A314="",B314="",C314="",D314="",E314="",J314="",K314="",N314=""),"⚠ Champ obligatoire manquant",IF(AND(ISNUMBER(K314),ISNUMBER(J314),N(K314)&gt;N(J314)),"⚠ Prix Autopiec &gt; prix public",IF(COUNTIFS($A$2:$A$1001,A314,$B$2:$B$1001,B314)&gt;1,"⚠ Référence en double","✔ OK"))))</f>
        <v/>
      </c>
    </row>
    <row r="315" customFormat="false" ht="15" hidden="false" customHeight="false" outlineLevel="0" collapsed="false">
      <c r="A315" s="11"/>
      <c r="B315" s="27"/>
      <c r="C315" s="11"/>
      <c r="D315" s="11"/>
      <c r="E315" s="11"/>
      <c r="F315" s="27"/>
      <c r="G315" s="27"/>
      <c r="H315" s="11"/>
      <c r="I315" s="11"/>
      <c r="J315" s="12"/>
      <c r="K315" s="12"/>
      <c r="L315" s="28" t="str">
        <f aca="false">IF(AND(ISNUMBER(J315),ISNUMBER(K315),N(J315)&gt;0),1-K315/J315,"")</f>
        <v/>
      </c>
      <c r="M315" s="29"/>
      <c r="N315" s="30"/>
      <c r="O315" s="30"/>
      <c r="P315" s="11"/>
      <c r="Q315" s="31"/>
      <c r="R315" s="11"/>
      <c r="S315" s="11"/>
      <c r="T315" s="11"/>
      <c r="U315" s="32" t="str">
        <f aca="false">IF((LEN(A315)+LEN(B315)+LEN(C315)+LEN(D315)+LEN(E315)+LEN(F315)+LEN(G315)+LEN(H315)+LEN(I315)+LEN(J315)+LEN(K315)+LEN(M315)+LEN(N315)+LEN(O315)+LEN(P315)+LEN(Q315)+LEN(R315)+LEN(S315)+LEN(T315))=0,"",IF(OR(A315="",B315="",C315="",D315="",E315="",J315="",K315="",N315=""),"⚠ Champ obligatoire manquant",IF(AND(ISNUMBER(K315),ISNUMBER(J315),N(K315)&gt;N(J315)),"⚠ Prix Autopiec &gt; prix public",IF(COUNTIFS($A$2:$A$1001,A315,$B$2:$B$1001,B315)&gt;1,"⚠ Référence en double","✔ OK"))))</f>
        <v/>
      </c>
    </row>
    <row r="316" customFormat="false" ht="15" hidden="false" customHeight="false" outlineLevel="0" collapsed="false">
      <c r="A316" s="11"/>
      <c r="B316" s="27"/>
      <c r="C316" s="11"/>
      <c r="D316" s="11"/>
      <c r="E316" s="11"/>
      <c r="F316" s="27"/>
      <c r="G316" s="27"/>
      <c r="H316" s="11"/>
      <c r="I316" s="11"/>
      <c r="J316" s="12"/>
      <c r="K316" s="12"/>
      <c r="L316" s="28" t="str">
        <f aca="false">IF(AND(ISNUMBER(J316),ISNUMBER(K316),N(J316)&gt;0),1-K316/J316,"")</f>
        <v/>
      </c>
      <c r="M316" s="29"/>
      <c r="N316" s="30"/>
      <c r="O316" s="30"/>
      <c r="P316" s="11"/>
      <c r="Q316" s="31"/>
      <c r="R316" s="11"/>
      <c r="S316" s="11"/>
      <c r="T316" s="11"/>
      <c r="U316" s="32" t="str">
        <f aca="false">IF((LEN(A316)+LEN(B316)+LEN(C316)+LEN(D316)+LEN(E316)+LEN(F316)+LEN(G316)+LEN(H316)+LEN(I316)+LEN(J316)+LEN(K316)+LEN(M316)+LEN(N316)+LEN(O316)+LEN(P316)+LEN(Q316)+LEN(R316)+LEN(S316)+LEN(T316))=0,"",IF(OR(A316="",B316="",C316="",D316="",E316="",J316="",K316="",N316=""),"⚠ Champ obligatoire manquant",IF(AND(ISNUMBER(K316),ISNUMBER(J316),N(K316)&gt;N(J316)),"⚠ Prix Autopiec &gt; prix public",IF(COUNTIFS($A$2:$A$1001,A316,$B$2:$B$1001,B316)&gt;1,"⚠ Référence en double","✔ OK"))))</f>
        <v/>
      </c>
    </row>
    <row r="317" customFormat="false" ht="15" hidden="false" customHeight="false" outlineLevel="0" collapsed="false">
      <c r="A317" s="11"/>
      <c r="B317" s="27"/>
      <c r="C317" s="11"/>
      <c r="D317" s="11"/>
      <c r="E317" s="11"/>
      <c r="F317" s="27"/>
      <c r="G317" s="27"/>
      <c r="H317" s="11"/>
      <c r="I317" s="11"/>
      <c r="J317" s="12"/>
      <c r="K317" s="12"/>
      <c r="L317" s="28" t="str">
        <f aca="false">IF(AND(ISNUMBER(J317),ISNUMBER(K317),N(J317)&gt;0),1-K317/J317,"")</f>
        <v/>
      </c>
      <c r="M317" s="29"/>
      <c r="N317" s="30"/>
      <c r="O317" s="30"/>
      <c r="P317" s="11"/>
      <c r="Q317" s="31"/>
      <c r="R317" s="11"/>
      <c r="S317" s="11"/>
      <c r="T317" s="11"/>
      <c r="U317" s="32" t="str">
        <f aca="false">IF((LEN(A317)+LEN(B317)+LEN(C317)+LEN(D317)+LEN(E317)+LEN(F317)+LEN(G317)+LEN(H317)+LEN(I317)+LEN(J317)+LEN(K317)+LEN(M317)+LEN(N317)+LEN(O317)+LEN(P317)+LEN(Q317)+LEN(R317)+LEN(S317)+LEN(T317))=0,"",IF(OR(A317="",B317="",C317="",D317="",E317="",J317="",K317="",N317=""),"⚠ Champ obligatoire manquant",IF(AND(ISNUMBER(K317),ISNUMBER(J317),N(K317)&gt;N(J317)),"⚠ Prix Autopiec &gt; prix public",IF(COUNTIFS($A$2:$A$1001,A317,$B$2:$B$1001,B317)&gt;1,"⚠ Référence en double","✔ OK"))))</f>
        <v/>
      </c>
    </row>
    <row r="318" customFormat="false" ht="15" hidden="false" customHeight="false" outlineLevel="0" collapsed="false">
      <c r="A318" s="11"/>
      <c r="B318" s="27"/>
      <c r="C318" s="11"/>
      <c r="D318" s="11"/>
      <c r="E318" s="11"/>
      <c r="F318" s="27"/>
      <c r="G318" s="27"/>
      <c r="H318" s="11"/>
      <c r="I318" s="11"/>
      <c r="J318" s="12"/>
      <c r="K318" s="12"/>
      <c r="L318" s="28" t="str">
        <f aca="false">IF(AND(ISNUMBER(J318),ISNUMBER(K318),N(J318)&gt;0),1-K318/J318,"")</f>
        <v/>
      </c>
      <c r="M318" s="29"/>
      <c r="N318" s="30"/>
      <c r="O318" s="30"/>
      <c r="P318" s="11"/>
      <c r="Q318" s="31"/>
      <c r="R318" s="11"/>
      <c r="S318" s="11"/>
      <c r="T318" s="11"/>
      <c r="U318" s="32" t="str">
        <f aca="false">IF((LEN(A318)+LEN(B318)+LEN(C318)+LEN(D318)+LEN(E318)+LEN(F318)+LEN(G318)+LEN(H318)+LEN(I318)+LEN(J318)+LEN(K318)+LEN(M318)+LEN(N318)+LEN(O318)+LEN(P318)+LEN(Q318)+LEN(R318)+LEN(S318)+LEN(T318))=0,"",IF(OR(A318="",B318="",C318="",D318="",E318="",J318="",K318="",N318=""),"⚠ Champ obligatoire manquant",IF(AND(ISNUMBER(K318),ISNUMBER(J318),N(K318)&gt;N(J318)),"⚠ Prix Autopiec &gt; prix public",IF(COUNTIFS($A$2:$A$1001,A318,$B$2:$B$1001,B318)&gt;1,"⚠ Référence en double","✔ OK"))))</f>
        <v/>
      </c>
    </row>
    <row r="319" customFormat="false" ht="15" hidden="false" customHeight="false" outlineLevel="0" collapsed="false">
      <c r="A319" s="11"/>
      <c r="B319" s="27"/>
      <c r="C319" s="11"/>
      <c r="D319" s="11"/>
      <c r="E319" s="11"/>
      <c r="F319" s="27"/>
      <c r="G319" s="27"/>
      <c r="H319" s="11"/>
      <c r="I319" s="11"/>
      <c r="J319" s="12"/>
      <c r="K319" s="12"/>
      <c r="L319" s="28" t="str">
        <f aca="false">IF(AND(ISNUMBER(J319),ISNUMBER(K319),N(J319)&gt;0),1-K319/J319,"")</f>
        <v/>
      </c>
      <c r="M319" s="29"/>
      <c r="N319" s="30"/>
      <c r="O319" s="30"/>
      <c r="P319" s="11"/>
      <c r="Q319" s="31"/>
      <c r="R319" s="11"/>
      <c r="S319" s="11"/>
      <c r="T319" s="11"/>
      <c r="U319" s="32" t="str">
        <f aca="false">IF((LEN(A319)+LEN(B319)+LEN(C319)+LEN(D319)+LEN(E319)+LEN(F319)+LEN(G319)+LEN(H319)+LEN(I319)+LEN(J319)+LEN(K319)+LEN(M319)+LEN(N319)+LEN(O319)+LEN(P319)+LEN(Q319)+LEN(R319)+LEN(S319)+LEN(T319))=0,"",IF(OR(A319="",B319="",C319="",D319="",E319="",J319="",K319="",N319=""),"⚠ Champ obligatoire manquant",IF(AND(ISNUMBER(K319),ISNUMBER(J319),N(K319)&gt;N(J319)),"⚠ Prix Autopiec &gt; prix public",IF(COUNTIFS($A$2:$A$1001,A319,$B$2:$B$1001,B319)&gt;1,"⚠ Référence en double","✔ OK"))))</f>
        <v/>
      </c>
    </row>
    <row r="320" customFormat="false" ht="15" hidden="false" customHeight="false" outlineLevel="0" collapsed="false">
      <c r="A320" s="11"/>
      <c r="B320" s="27"/>
      <c r="C320" s="11"/>
      <c r="D320" s="11"/>
      <c r="E320" s="11"/>
      <c r="F320" s="27"/>
      <c r="G320" s="27"/>
      <c r="H320" s="11"/>
      <c r="I320" s="11"/>
      <c r="J320" s="12"/>
      <c r="K320" s="12"/>
      <c r="L320" s="28" t="str">
        <f aca="false">IF(AND(ISNUMBER(J320),ISNUMBER(K320),N(J320)&gt;0),1-K320/J320,"")</f>
        <v/>
      </c>
      <c r="M320" s="29"/>
      <c r="N320" s="30"/>
      <c r="O320" s="30"/>
      <c r="P320" s="11"/>
      <c r="Q320" s="31"/>
      <c r="R320" s="11"/>
      <c r="S320" s="11"/>
      <c r="T320" s="11"/>
      <c r="U320" s="32" t="str">
        <f aca="false">IF((LEN(A320)+LEN(B320)+LEN(C320)+LEN(D320)+LEN(E320)+LEN(F320)+LEN(G320)+LEN(H320)+LEN(I320)+LEN(J320)+LEN(K320)+LEN(M320)+LEN(N320)+LEN(O320)+LEN(P320)+LEN(Q320)+LEN(R320)+LEN(S320)+LEN(T320))=0,"",IF(OR(A320="",B320="",C320="",D320="",E320="",J320="",K320="",N320=""),"⚠ Champ obligatoire manquant",IF(AND(ISNUMBER(K320),ISNUMBER(J320),N(K320)&gt;N(J320)),"⚠ Prix Autopiec &gt; prix public",IF(COUNTIFS($A$2:$A$1001,A320,$B$2:$B$1001,B320)&gt;1,"⚠ Référence en double","✔ OK"))))</f>
        <v/>
      </c>
    </row>
    <row r="321" customFormat="false" ht="15" hidden="false" customHeight="false" outlineLevel="0" collapsed="false">
      <c r="A321" s="11"/>
      <c r="B321" s="27"/>
      <c r="C321" s="11"/>
      <c r="D321" s="11"/>
      <c r="E321" s="11"/>
      <c r="F321" s="27"/>
      <c r="G321" s="27"/>
      <c r="H321" s="11"/>
      <c r="I321" s="11"/>
      <c r="J321" s="12"/>
      <c r="K321" s="12"/>
      <c r="L321" s="28" t="str">
        <f aca="false">IF(AND(ISNUMBER(J321),ISNUMBER(K321),N(J321)&gt;0),1-K321/J321,"")</f>
        <v/>
      </c>
      <c r="M321" s="29"/>
      <c r="N321" s="30"/>
      <c r="O321" s="30"/>
      <c r="P321" s="11"/>
      <c r="Q321" s="31"/>
      <c r="R321" s="11"/>
      <c r="S321" s="11"/>
      <c r="T321" s="11"/>
      <c r="U321" s="32" t="str">
        <f aca="false">IF((LEN(A321)+LEN(B321)+LEN(C321)+LEN(D321)+LEN(E321)+LEN(F321)+LEN(G321)+LEN(H321)+LEN(I321)+LEN(J321)+LEN(K321)+LEN(M321)+LEN(N321)+LEN(O321)+LEN(P321)+LEN(Q321)+LEN(R321)+LEN(S321)+LEN(T321))=0,"",IF(OR(A321="",B321="",C321="",D321="",E321="",J321="",K321="",N321=""),"⚠ Champ obligatoire manquant",IF(AND(ISNUMBER(K321),ISNUMBER(J321),N(K321)&gt;N(J321)),"⚠ Prix Autopiec &gt; prix public",IF(COUNTIFS($A$2:$A$1001,A321,$B$2:$B$1001,B321)&gt;1,"⚠ Référence en double","✔ OK"))))</f>
        <v/>
      </c>
    </row>
    <row r="322" customFormat="false" ht="15" hidden="false" customHeight="false" outlineLevel="0" collapsed="false">
      <c r="A322" s="11"/>
      <c r="B322" s="27"/>
      <c r="C322" s="11"/>
      <c r="D322" s="11"/>
      <c r="E322" s="11"/>
      <c r="F322" s="27"/>
      <c r="G322" s="27"/>
      <c r="H322" s="11"/>
      <c r="I322" s="11"/>
      <c r="J322" s="12"/>
      <c r="K322" s="12"/>
      <c r="L322" s="28" t="str">
        <f aca="false">IF(AND(ISNUMBER(J322),ISNUMBER(K322),N(J322)&gt;0),1-K322/J322,"")</f>
        <v/>
      </c>
      <c r="M322" s="29"/>
      <c r="N322" s="30"/>
      <c r="O322" s="30"/>
      <c r="P322" s="11"/>
      <c r="Q322" s="31"/>
      <c r="R322" s="11"/>
      <c r="S322" s="11"/>
      <c r="T322" s="11"/>
      <c r="U322" s="32" t="str">
        <f aca="false">IF((LEN(A322)+LEN(B322)+LEN(C322)+LEN(D322)+LEN(E322)+LEN(F322)+LEN(G322)+LEN(H322)+LEN(I322)+LEN(J322)+LEN(K322)+LEN(M322)+LEN(N322)+LEN(O322)+LEN(P322)+LEN(Q322)+LEN(R322)+LEN(S322)+LEN(T322))=0,"",IF(OR(A322="",B322="",C322="",D322="",E322="",J322="",K322="",N322=""),"⚠ Champ obligatoire manquant",IF(AND(ISNUMBER(K322),ISNUMBER(J322),N(K322)&gt;N(J322)),"⚠ Prix Autopiec &gt; prix public",IF(COUNTIFS($A$2:$A$1001,A322,$B$2:$B$1001,B322)&gt;1,"⚠ Référence en double","✔ OK"))))</f>
        <v/>
      </c>
    </row>
    <row r="323" customFormat="false" ht="15" hidden="false" customHeight="false" outlineLevel="0" collapsed="false">
      <c r="A323" s="11"/>
      <c r="B323" s="27"/>
      <c r="C323" s="11"/>
      <c r="D323" s="11"/>
      <c r="E323" s="11"/>
      <c r="F323" s="27"/>
      <c r="G323" s="27"/>
      <c r="H323" s="11"/>
      <c r="I323" s="11"/>
      <c r="J323" s="12"/>
      <c r="K323" s="12"/>
      <c r="L323" s="28" t="str">
        <f aca="false">IF(AND(ISNUMBER(J323),ISNUMBER(K323),N(J323)&gt;0),1-K323/J323,"")</f>
        <v/>
      </c>
      <c r="M323" s="29"/>
      <c r="N323" s="30"/>
      <c r="O323" s="30"/>
      <c r="P323" s="11"/>
      <c r="Q323" s="31"/>
      <c r="R323" s="11"/>
      <c r="S323" s="11"/>
      <c r="T323" s="11"/>
      <c r="U323" s="32" t="str">
        <f aca="false">IF((LEN(A323)+LEN(B323)+LEN(C323)+LEN(D323)+LEN(E323)+LEN(F323)+LEN(G323)+LEN(H323)+LEN(I323)+LEN(J323)+LEN(K323)+LEN(M323)+LEN(N323)+LEN(O323)+LEN(P323)+LEN(Q323)+LEN(R323)+LEN(S323)+LEN(T323))=0,"",IF(OR(A323="",B323="",C323="",D323="",E323="",J323="",K323="",N323=""),"⚠ Champ obligatoire manquant",IF(AND(ISNUMBER(K323),ISNUMBER(J323),N(K323)&gt;N(J323)),"⚠ Prix Autopiec &gt; prix public",IF(COUNTIFS($A$2:$A$1001,A323,$B$2:$B$1001,B323)&gt;1,"⚠ Référence en double","✔ OK"))))</f>
        <v/>
      </c>
    </row>
    <row r="324" customFormat="false" ht="15" hidden="false" customHeight="false" outlineLevel="0" collapsed="false">
      <c r="A324" s="11"/>
      <c r="B324" s="27"/>
      <c r="C324" s="11"/>
      <c r="D324" s="11"/>
      <c r="E324" s="11"/>
      <c r="F324" s="27"/>
      <c r="G324" s="27"/>
      <c r="H324" s="11"/>
      <c r="I324" s="11"/>
      <c r="J324" s="12"/>
      <c r="K324" s="12"/>
      <c r="L324" s="28" t="str">
        <f aca="false">IF(AND(ISNUMBER(J324),ISNUMBER(K324),N(J324)&gt;0),1-K324/J324,"")</f>
        <v/>
      </c>
      <c r="M324" s="29"/>
      <c r="N324" s="30"/>
      <c r="O324" s="30"/>
      <c r="P324" s="11"/>
      <c r="Q324" s="31"/>
      <c r="R324" s="11"/>
      <c r="S324" s="11"/>
      <c r="T324" s="11"/>
      <c r="U324" s="32" t="str">
        <f aca="false">IF((LEN(A324)+LEN(B324)+LEN(C324)+LEN(D324)+LEN(E324)+LEN(F324)+LEN(G324)+LEN(H324)+LEN(I324)+LEN(J324)+LEN(K324)+LEN(M324)+LEN(N324)+LEN(O324)+LEN(P324)+LEN(Q324)+LEN(R324)+LEN(S324)+LEN(T324))=0,"",IF(OR(A324="",B324="",C324="",D324="",E324="",J324="",K324="",N324=""),"⚠ Champ obligatoire manquant",IF(AND(ISNUMBER(K324),ISNUMBER(J324),N(K324)&gt;N(J324)),"⚠ Prix Autopiec &gt; prix public",IF(COUNTIFS($A$2:$A$1001,A324,$B$2:$B$1001,B324)&gt;1,"⚠ Référence en double","✔ OK"))))</f>
        <v/>
      </c>
    </row>
    <row r="325" customFormat="false" ht="15" hidden="false" customHeight="false" outlineLevel="0" collapsed="false">
      <c r="A325" s="11"/>
      <c r="B325" s="27"/>
      <c r="C325" s="11"/>
      <c r="D325" s="11"/>
      <c r="E325" s="11"/>
      <c r="F325" s="27"/>
      <c r="G325" s="27"/>
      <c r="H325" s="11"/>
      <c r="I325" s="11"/>
      <c r="J325" s="12"/>
      <c r="K325" s="12"/>
      <c r="L325" s="28" t="str">
        <f aca="false">IF(AND(ISNUMBER(J325),ISNUMBER(K325),N(J325)&gt;0),1-K325/J325,"")</f>
        <v/>
      </c>
      <c r="M325" s="29"/>
      <c r="N325" s="30"/>
      <c r="O325" s="30"/>
      <c r="P325" s="11"/>
      <c r="Q325" s="31"/>
      <c r="R325" s="11"/>
      <c r="S325" s="11"/>
      <c r="T325" s="11"/>
      <c r="U325" s="32" t="str">
        <f aca="false">IF((LEN(A325)+LEN(B325)+LEN(C325)+LEN(D325)+LEN(E325)+LEN(F325)+LEN(G325)+LEN(H325)+LEN(I325)+LEN(J325)+LEN(K325)+LEN(M325)+LEN(N325)+LEN(O325)+LEN(P325)+LEN(Q325)+LEN(R325)+LEN(S325)+LEN(T325))=0,"",IF(OR(A325="",B325="",C325="",D325="",E325="",J325="",K325="",N325=""),"⚠ Champ obligatoire manquant",IF(AND(ISNUMBER(K325),ISNUMBER(J325),N(K325)&gt;N(J325)),"⚠ Prix Autopiec &gt; prix public",IF(COUNTIFS($A$2:$A$1001,A325,$B$2:$B$1001,B325)&gt;1,"⚠ Référence en double","✔ OK"))))</f>
        <v/>
      </c>
    </row>
    <row r="326" customFormat="false" ht="15" hidden="false" customHeight="false" outlineLevel="0" collapsed="false">
      <c r="A326" s="11"/>
      <c r="B326" s="27"/>
      <c r="C326" s="11"/>
      <c r="D326" s="11"/>
      <c r="E326" s="11"/>
      <c r="F326" s="27"/>
      <c r="G326" s="27"/>
      <c r="H326" s="11"/>
      <c r="I326" s="11"/>
      <c r="J326" s="12"/>
      <c r="K326" s="12"/>
      <c r="L326" s="28" t="str">
        <f aca="false">IF(AND(ISNUMBER(J326),ISNUMBER(K326),N(J326)&gt;0),1-K326/J326,"")</f>
        <v/>
      </c>
      <c r="M326" s="29"/>
      <c r="N326" s="30"/>
      <c r="O326" s="30"/>
      <c r="P326" s="11"/>
      <c r="Q326" s="31"/>
      <c r="R326" s="11"/>
      <c r="S326" s="11"/>
      <c r="T326" s="11"/>
      <c r="U326" s="32" t="str">
        <f aca="false">IF((LEN(A326)+LEN(B326)+LEN(C326)+LEN(D326)+LEN(E326)+LEN(F326)+LEN(G326)+LEN(H326)+LEN(I326)+LEN(J326)+LEN(K326)+LEN(M326)+LEN(N326)+LEN(O326)+LEN(P326)+LEN(Q326)+LEN(R326)+LEN(S326)+LEN(T326))=0,"",IF(OR(A326="",B326="",C326="",D326="",E326="",J326="",K326="",N326=""),"⚠ Champ obligatoire manquant",IF(AND(ISNUMBER(K326),ISNUMBER(J326),N(K326)&gt;N(J326)),"⚠ Prix Autopiec &gt; prix public",IF(COUNTIFS($A$2:$A$1001,A326,$B$2:$B$1001,B326)&gt;1,"⚠ Référence en double","✔ OK"))))</f>
        <v/>
      </c>
    </row>
    <row r="327" customFormat="false" ht="15" hidden="false" customHeight="false" outlineLevel="0" collapsed="false">
      <c r="A327" s="11"/>
      <c r="B327" s="27"/>
      <c r="C327" s="11"/>
      <c r="D327" s="11"/>
      <c r="E327" s="11"/>
      <c r="F327" s="27"/>
      <c r="G327" s="27"/>
      <c r="H327" s="11"/>
      <c r="I327" s="11"/>
      <c r="J327" s="12"/>
      <c r="K327" s="12"/>
      <c r="L327" s="28" t="str">
        <f aca="false">IF(AND(ISNUMBER(J327),ISNUMBER(K327),N(J327)&gt;0),1-K327/J327,"")</f>
        <v/>
      </c>
      <c r="M327" s="29"/>
      <c r="N327" s="30"/>
      <c r="O327" s="30"/>
      <c r="P327" s="11"/>
      <c r="Q327" s="31"/>
      <c r="R327" s="11"/>
      <c r="S327" s="11"/>
      <c r="T327" s="11"/>
      <c r="U327" s="32" t="str">
        <f aca="false">IF((LEN(A327)+LEN(B327)+LEN(C327)+LEN(D327)+LEN(E327)+LEN(F327)+LEN(G327)+LEN(H327)+LEN(I327)+LEN(J327)+LEN(K327)+LEN(M327)+LEN(N327)+LEN(O327)+LEN(P327)+LEN(Q327)+LEN(R327)+LEN(S327)+LEN(T327))=0,"",IF(OR(A327="",B327="",C327="",D327="",E327="",J327="",K327="",N327=""),"⚠ Champ obligatoire manquant",IF(AND(ISNUMBER(K327),ISNUMBER(J327),N(K327)&gt;N(J327)),"⚠ Prix Autopiec &gt; prix public",IF(COUNTIFS($A$2:$A$1001,A327,$B$2:$B$1001,B327)&gt;1,"⚠ Référence en double","✔ OK"))))</f>
        <v/>
      </c>
    </row>
    <row r="328" customFormat="false" ht="15" hidden="false" customHeight="false" outlineLevel="0" collapsed="false">
      <c r="A328" s="11"/>
      <c r="B328" s="27"/>
      <c r="C328" s="11"/>
      <c r="D328" s="11"/>
      <c r="E328" s="11"/>
      <c r="F328" s="27"/>
      <c r="G328" s="27"/>
      <c r="H328" s="11"/>
      <c r="I328" s="11"/>
      <c r="J328" s="12"/>
      <c r="K328" s="12"/>
      <c r="L328" s="28" t="str">
        <f aca="false">IF(AND(ISNUMBER(J328),ISNUMBER(K328),N(J328)&gt;0),1-K328/J328,"")</f>
        <v/>
      </c>
      <c r="M328" s="29"/>
      <c r="N328" s="30"/>
      <c r="O328" s="30"/>
      <c r="P328" s="11"/>
      <c r="Q328" s="31"/>
      <c r="R328" s="11"/>
      <c r="S328" s="11"/>
      <c r="T328" s="11"/>
      <c r="U328" s="32" t="str">
        <f aca="false">IF((LEN(A328)+LEN(B328)+LEN(C328)+LEN(D328)+LEN(E328)+LEN(F328)+LEN(G328)+LEN(H328)+LEN(I328)+LEN(J328)+LEN(K328)+LEN(M328)+LEN(N328)+LEN(O328)+LEN(P328)+LEN(Q328)+LEN(R328)+LEN(S328)+LEN(T328))=0,"",IF(OR(A328="",B328="",C328="",D328="",E328="",J328="",K328="",N328=""),"⚠ Champ obligatoire manquant",IF(AND(ISNUMBER(K328),ISNUMBER(J328),N(K328)&gt;N(J328)),"⚠ Prix Autopiec &gt; prix public",IF(COUNTIFS($A$2:$A$1001,A328,$B$2:$B$1001,B328)&gt;1,"⚠ Référence en double","✔ OK"))))</f>
        <v/>
      </c>
    </row>
    <row r="329" customFormat="false" ht="15" hidden="false" customHeight="false" outlineLevel="0" collapsed="false">
      <c r="A329" s="11"/>
      <c r="B329" s="27"/>
      <c r="C329" s="11"/>
      <c r="D329" s="11"/>
      <c r="E329" s="11"/>
      <c r="F329" s="27"/>
      <c r="G329" s="27"/>
      <c r="H329" s="11"/>
      <c r="I329" s="11"/>
      <c r="J329" s="12"/>
      <c r="K329" s="12"/>
      <c r="L329" s="28" t="str">
        <f aca="false">IF(AND(ISNUMBER(J329),ISNUMBER(K329),N(J329)&gt;0),1-K329/J329,"")</f>
        <v/>
      </c>
      <c r="M329" s="29"/>
      <c r="N329" s="30"/>
      <c r="O329" s="30"/>
      <c r="P329" s="11"/>
      <c r="Q329" s="31"/>
      <c r="R329" s="11"/>
      <c r="S329" s="11"/>
      <c r="T329" s="11"/>
      <c r="U329" s="32" t="str">
        <f aca="false">IF((LEN(A329)+LEN(B329)+LEN(C329)+LEN(D329)+LEN(E329)+LEN(F329)+LEN(G329)+LEN(H329)+LEN(I329)+LEN(J329)+LEN(K329)+LEN(M329)+LEN(N329)+LEN(O329)+LEN(P329)+LEN(Q329)+LEN(R329)+LEN(S329)+LEN(T329))=0,"",IF(OR(A329="",B329="",C329="",D329="",E329="",J329="",K329="",N329=""),"⚠ Champ obligatoire manquant",IF(AND(ISNUMBER(K329),ISNUMBER(J329),N(K329)&gt;N(J329)),"⚠ Prix Autopiec &gt; prix public",IF(COUNTIFS($A$2:$A$1001,A329,$B$2:$B$1001,B329)&gt;1,"⚠ Référence en double","✔ OK"))))</f>
        <v/>
      </c>
    </row>
    <row r="330" customFormat="false" ht="15" hidden="false" customHeight="false" outlineLevel="0" collapsed="false">
      <c r="A330" s="11"/>
      <c r="B330" s="27"/>
      <c r="C330" s="11"/>
      <c r="D330" s="11"/>
      <c r="E330" s="11"/>
      <c r="F330" s="27"/>
      <c r="G330" s="27"/>
      <c r="H330" s="11"/>
      <c r="I330" s="11"/>
      <c r="J330" s="12"/>
      <c r="K330" s="12"/>
      <c r="L330" s="28" t="str">
        <f aca="false">IF(AND(ISNUMBER(J330),ISNUMBER(K330),N(J330)&gt;0),1-K330/J330,"")</f>
        <v/>
      </c>
      <c r="M330" s="29"/>
      <c r="N330" s="30"/>
      <c r="O330" s="30"/>
      <c r="P330" s="11"/>
      <c r="Q330" s="31"/>
      <c r="R330" s="11"/>
      <c r="S330" s="11"/>
      <c r="T330" s="11"/>
      <c r="U330" s="32" t="str">
        <f aca="false">IF((LEN(A330)+LEN(B330)+LEN(C330)+LEN(D330)+LEN(E330)+LEN(F330)+LEN(G330)+LEN(H330)+LEN(I330)+LEN(J330)+LEN(K330)+LEN(M330)+LEN(N330)+LEN(O330)+LEN(P330)+LEN(Q330)+LEN(R330)+LEN(S330)+LEN(T330))=0,"",IF(OR(A330="",B330="",C330="",D330="",E330="",J330="",K330="",N330=""),"⚠ Champ obligatoire manquant",IF(AND(ISNUMBER(K330),ISNUMBER(J330),N(K330)&gt;N(J330)),"⚠ Prix Autopiec &gt; prix public",IF(COUNTIFS($A$2:$A$1001,A330,$B$2:$B$1001,B330)&gt;1,"⚠ Référence en double","✔ OK"))))</f>
        <v/>
      </c>
    </row>
    <row r="331" customFormat="false" ht="15" hidden="false" customHeight="false" outlineLevel="0" collapsed="false">
      <c r="A331" s="11"/>
      <c r="B331" s="27"/>
      <c r="C331" s="11"/>
      <c r="D331" s="11"/>
      <c r="E331" s="11"/>
      <c r="F331" s="27"/>
      <c r="G331" s="27"/>
      <c r="H331" s="11"/>
      <c r="I331" s="11"/>
      <c r="J331" s="12"/>
      <c r="K331" s="12"/>
      <c r="L331" s="28" t="str">
        <f aca="false">IF(AND(ISNUMBER(J331),ISNUMBER(K331),N(J331)&gt;0),1-K331/J331,"")</f>
        <v/>
      </c>
      <c r="M331" s="29"/>
      <c r="N331" s="30"/>
      <c r="O331" s="30"/>
      <c r="P331" s="11"/>
      <c r="Q331" s="31"/>
      <c r="R331" s="11"/>
      <c r="S331" s="11"/>
      <c r="T331" s="11"/>
      <c r="U331" s="32" t="str">
        <f aca="false">IF((LEN(A331)+LEN(B331)+LEN(C331)+LEN(D331)+LEN(E331)+LEN(F331)+LEN(G331)+LEN(H331)+LEN(I331)+LEN(J331)+LEN(K331)+LEN(M331)+LEN(N331)+LEN(O331)+LEN(P331)+LEN(Q331)+LEN(R331)+LEN(S331)+LEN(T331))=0,"",IF(OR(A331="",B331="",C331="",D331="",E331="",J331="",K331="",N331=""),"⚠ Champ obligatoire manquant",IF(AND(ISNUMBER(K331),ISNUMBER(J331),N(K331)&gt;N(J331)),"⚠ Prix Autopiec &gt; prix public",IF(COUNTIFS($A$2:$A$1001,A331,$B$2:$B$1001,B331)&gt;1,"⚠ Référence en double","✔ OK"))))</f>
        <v/>
      </c>
    </row>
    <row r="332" customFormat="false" ht="15" hidden="false" customHeight="false" outlineLevel="0" collapsed="false">
      <c r="A332" s="11"/>
      <c r="B332" s="27"/>
      <c r="C332" s="11"/>
      <c r="D332" s="11"/>
      <c r="E332" s="11"/>
      <c r="F332" s="27"/>
      <c r="G332" s="27"/>
      <c r="H332" s="11"/>
      <c r="I332" s="11"/>
      <c r="J332" s="12"/>
      <c r="K332" s="12"/>
      <c r="L332" s="28" t="str">
        <f aca="false">IF(AND(ISNUMBER(J332),ISNUMBER(K332),N(J332)&gt;0),1-K332/J332,"")</f>
        <v/>
      </c>
      <c r="M332" s="29"/>
      <c r="N332" s="30"/>
      <c r="O332" s="30"/>
      <c r="P332" s="11"/>
      <c r="Q332" s="31"/>
      <c r="R332" s="11"/>
      <c r="S332" s="11"/>
      <c r="T332" s="11"/>
      <c r="U332" s="32" t="str">
        <f aca="false">IF((LEN(A332)+LEN(B332)+LEN(C332)+LEN(D332)+LEN(E332)+LEN(F332)+LEN(G332)+LEN(H332)+LEN(I332)+LEN(J332)+LEN(K332)+LEN(M332)+LEN(N332)+LEN(O332)+LEN(P332)+LEN(Q332)+LEN(R332)+LEN(S332)+LEN(T332))=0,"",IF(OR(A332="",B332="",C332="",D332="",E332="",J332="",K332="",N332=""),"⚠ Champ obligatoire manquant",IF(AND(ISNUMBER(K332),ISNUMBER(J332),N(K332)&gt;N(J332)),"⚠ Prix Autopiec &gt; prix public",IF(COUNTIFS($A$2:$A$1001,A332,$B$2:$B$1001,B332)&gt;1,"⚠ Référence en double","✔ OK"))))</f>
        <v/>
      </c>
    </row>
    <row r="333" customFormat="false" ht="15" hidden="false" customHeight="false" outlineLevel="0" collapsed="false">
      <c r="A333" s="11"/>
      <c r="B333" s="27"/>
      <c r="C333" s="11"/>
      <c r="D333" s="11"/>
      <c r="E333" s="11"/>
      <c r="F333" s="27"/>
      <c r="G333" s="27"/>
      <c r="H333" s="11"/>
      <c r="I333" s="11"/>
      <c r="J333" s="12"/>
      <c r="K333" s="12"/>
      <c r="L333" s="28" t="str">
        <f aca="false">IF(AND(ISNUMBER(J333),ISNUMBER(K333),N(J333)&gt;0),1-K333/J333,"")</f>
        <v/>
      </c>
      <c r="M333" s="29"/>
      <c r="N333" s="30"/>
      <c r="O333" s="30"/>
      <c r="P333" s="11"/>
      <c r="Q333" s="31"/>
      <c r="R333" s="11"/>
      <c r="S333" s="11"/>
      <c r="T333" s="11"/>
      <c r="U333" s="32" t="str">
        <f aca="false">IF((LEN(A333)+LEN(B333)+LEN(C333)+LEN(D333)+LEN(E333)+LEN(F333)+LEN(G333)+LEN(H333)+LEN(I333)+LEN(J333)+LEN(K333)+LEN(M333)+LEN(N333)+LEN(O333)+LEN(P333)+LEN(Q333)+LEN(R333)+LEN(S333)+LEN(T333))=0,"",IF(OR(A333="",B333="",C333="",D333="",E333="",J333="",K333="",N333=""),"⚠ Champ obligatoire manquant",IF(AND(ISNUMBER(K333),ISNUMBER(J333),N(K333)&gt;N(J333)),"⚠ Prix Autopiec &gt; prix public",IF(COUNTIFS($A$2:$A$1001,A333,$B$2:$B$1001,B333)&gt;1,"⚠ Référence en double","✔ OK"))))</f>
        <v/>
      </c>
    </row>
    <row r="334" customFormat="false" ht="15" hidden="false" customHeight="false" outlineLevel="0" collapsed="false">
      <c r="A334" s="11"/>
      <c r="B334" s="27"/>
      <c r="C334" s="11"/>
      <c r="D334" s="11"/>
      <c r="E334" s="11"/>
      <c r="F334" s="27"/>
      <c r="G334" s="27"/>
      <c r="H334" s="11"/>
      <c r="I334" s="11"/>
      <c r="J334" s="12"/>
      <c r="K334" s="12"/>
      <c r="L334" s="28" t="str">
        <f aca="false">IF(AND(ISNUMBER(J334),ISNUMBER(K334),N(J334)&gt;0),1-K334/J334,"")</f>
        <v/>
      </c>
      <c r="M334" s="29"/>
      <c r="N334" s="30"/>
      <c r="O334" s="30"/>
      <c r="P334" s="11"/>
      <c r="Q334" s="31"/>
      <c r="R334" s="11"/>
      <c r="S334" s="11"/>
      <c r="T334" s="11"/>
      <c r="U334" s="32" t="str">
        <f aca="false">IF((LEN(A334)+LEN(B334)+LEN(C334)+LEN(D334)+LEN(E334)+LEN(F334)+LEN(G334)+LEN(H334)+LEN(I334)+LEN(J334)+LEN(K334)+LEN(M334)+LEN(N334)+LEN(O334)+LEN(P334)+LEN(Q334)+LEN(R334)+LEN(S334)+LEN(T334))=0,"",IF(OR(A334="",B334="",C334="",D334="",E334="",J334="",K334="",N334=""),"⚠ Champ obligatoire manquant",IF(AND(ISNUMBER(K334),ISNUMBER(J334),N(K334)&gt;N(J334)),"⚠ Prix Autopiec &gt; prix public",IF(COUNTIFS($A$2:$A$1001,A334,$B$2:$B$1001,B334)&gt;1,"⚠ Référence en double","✔ OK"))))</f>
        <v/>
      </c>
    </row>
    <row r="335" customFormat="false" ht="15" hidden="false" customHeight="false" outlineLevel="0" collapsed="false">
      <c r="A335" s="11"/>
      <c r="B335" s="27"/>
      <c r="C335" s="11"/>
      <c r="D335" s="11"/>
      <c r="E335" s="11"/>
      <c r="F335" s="27"/>
      <c r="G335" s="27"/>
      <c r="H335" s="11"/>
      <c r="I335" s="11"/>
      <c r="J335" s="12"/>
      <c r="K335" s="12"/>
      <c r="L335" s="28" t="str">
        <f aca="false">IF(AND(ISNUMBER(J335),ISNUMBER(K335),N(J335)&gt;0),1-K335/J335,"")</f>
        <v/>
      </c>
      <c r="M335" s="29"/>
      <c r="N335" s="30"/>
      <c r="O335" s="30"/>
      <c r="P335" s="11"/>
      <c r="Q335" s="31"/>
      <c r="R335" s="11"/>
      <c r="S335" s="11"/>
      <c r="T335" s="11"/>
      <c r="U335" s="32" t="str">
        <f aca="false">IF((LEN(A335)+LEN(B335)+LEN(C335)+LEN(D335)+LEN(E335)+LEN(F335)+LEN(G335)+LEN(H335)+LEN(I335)+LEN(J335)+LEN(K335)+LEN(M335)+LEN(N335)+LEN(O335)+LEN(P335)+LEN(Q335)+LEN(R335)+LEN(S335)+LEN(T335))=0,"",IF(OR(A335="",B335="",C335="",D335="",E335="",J335="",K335="",N335=""),"⚠ Champ obligatoire manquant",IF(AND(ISNUMBER(K335),ISNUMBER(J335),N(K335)&gt;N(J335)),"⚠ Prix Autopiec &gt; prix public",IF(COUNTIFS($A$2:$A$1001,A335,$B$2:$B$1001,B335)&gt;1,"⚠ Référence en double","✔ OK"))))</f>
        <v/>
      </c>
    </row>
    <row r="336" customFormat="false" ht="15" hidden="false" customHeight="false" outlineLevel="0" collapsed="false">
      <c r="A336" s="11"/>
      <c r="B336" s="27"/>
      <c r="C336" s="11"/>
      <c r="D336" s="11"/>
      <c r="E336" s="11"/>
      <c r="F336" s="27"/>
      <c r="G336" s="27"/>
      <c r="H336" s="11"/>
      <c r="I336" s="11"/>
      <c r="J336" s="12"/>
      <c r="K336" s="12"/>
      <c r="L336" s="28" t="str">
        <f aca="false">IF(AND(ISNUMBER(J336),ISNUMBER(K336),N(J336)&gt;0),1-K336/J336,"")</f>
        <v/>
      </c>
      <c r="M336" s="29"/>
      <c r="N336" s="30"/>
      <c r="O336" s="30"/>
      <c r="P336" s="11"/>
      <c r="Q336" s="31"/>
      <c r="R336" s="11"/>
      <c r="S336" s="11"/>
      <c r="T336" s="11"/>
      <c r="U336" s="32" t="str">
        <f aca="false">IF((LEN(A336)+LEN(B336)+LEN(C336)+LEN(D336)+LEN(E336)+LEN(F336)+LEN(G336)+LEN(H336)+LEN(I336)+LEN(J336)+LEN(K336)+LEN(M336)+LEN(N336)+LEN(O336)+LEN(P336)+LEN(Q336)+LEN(R336)+LEN(S336)+LEN(T336))=0,"",IF(OR(A336="",B336="",C336="",D336="",E336="",J336="",K336="",N336=""),"⚠ Champ obligatoire manquant",IF(AND(ISNUMBER(K336),ISNUMBER(J336),N(K336)&gt;N(J336)),"⚠ Prix Autopiec &gt; prix public",IF(COUNTIFS($A$2:$A$1001,A336,$B$2:$B$1001,B336)&gt;1,"⚠ Référence en double","✔ OK"))))</f>
        <v/>
      </c>
    </row>
    <row r="337" customFormat="false" ht="15" hidden="false" customHeight="false" outlineLevel="0" collapsed="false">
      <c r="A337" s="11"/>
      <c r="B337" s="27"/>
      <c r="C337" s="11"/>
      <c r="D337" s="11"/>
      <c r="E337" s="11"/>
      <c r="F337" s="27"/>
      <c r="G337" s="27"/>
      <c r="H337" s="11"/>
      <c r="I337" s="11"/>
      <c r="J337" s="12"/>
      <c r="K337" s="12"/>
      <c r="L337" s="28" t="str">
        <f aca="false">IF(AND(ISNUMBER(J337),ISNUMBER(K337),N(J337)&gt;0),1-K337/J337,"")</f>
        <v/>
      </c>
      <c r="M337" s="29"/>
      <c r="N337" s="30"/>
      <c r="O337" s="30"/>
      <c r="P337" s="11"/>
      <c r="Q337" s="31"/>
      <c r="R337" s="11"/>
      <c r="S337" s="11"/>
      <c r="T337" s="11"/>
      <c r="U337" s="32" t="str">
        <f aca="false">IF((LEN(A337)+LEN(B337)+LEN(C337)+LEN(D337)+LEN(E337)+LEN(F337)+LEN(G337)+LEN(H337)+LEN(I337)+LEN(J337)+LEN(K337)+LEN(M337)+LEN(N337)+LEN(O337)+LEN(P337)+LEN(Q337)+LEN(R337)+LEN(S337)+LEN(T337))=0,"",IF(OR(A337="",B337="",C337="",D337="",E337="",J337="",K337="",N337=""),"⚠ Champ obligatoire manquant",IF(AND(ISNUMBER(K337),ISNUMBER(J337),N(K337)&gt;N(J337)),"⚠ Prix Autopiec &gt; prix public",IF(COUNTIFS($A$2:$A$1001,A337,$B$2:$B$1001,B337)&gt;1,"⚠ Référence en double","✔ OK"))))</f>
        <v/>
      </c>
    </row>
    <row r="338" customFormat="false" ht="15" hidden="false" customHeight="false" outlineLevel="0" collapsed="false">
      <c r="A338" s="11"/>
      <c r="B338" s="27"/>
      <c r="C338" s="11"/>
      <c r="D338" s="11"/>
      <c r="E338" s="11"/>
      <c r="F338" s="27"/>
      <c r="G338" s="27"/>
      <c r="H338" s="11"/>
      <c r="I338" s="11"/>
      <c r="J338" s="12"/>
      <c r="K338" s="12"/>
      <c r="L338" s="28" t="str">
        <f aca="false">IF(AND(ISNUMBER(J338),ISNUMBER(K338),N(J338)&gt;0),1-K338/J338,"")</f>
        <v/>
      </c>
      <c r="M338" s="29"/>
      <c r="N338" s="30"/>
      <c r="O338" s="30"/>
      <c r="P338" s="11"/>
      <c r="Q338" s="31"/>
      <c r="R338" s="11"/>
      <c r="S338" s="11"/>
      <c r="T338" s="11"/>
      <c r="U338" s="32" t="str">
        <f aca="false">IF((LEN(A338)+LEN(B338)+LEN(C338)+LEN(D338)+LEN(E338)+LEN(F338)+LEN(G338)+LEN(H338)+LEN(I338)+LEN(J338)+LEN(K338)+LEN(M338)+LEN(N338)+LEN(O338)+LEN(P338)+LEN(Q338)+LEN(R338)+LEN(S338)+LEN(T338))=0,"",IF(OR(A338="",B338="",C338="",D338="",E338="",J338="",K338="",N338=""),"⚠ Champ obligatoire manquant",IF(AND(ISNUMBER(K338),ISNUMBER(J338),N(K338)&gt;N(J338)),"⚠ Prix Autopiec &gt; prix public",IF(COUNTIFS($A$2:$A$1001,A338,$B$2:$B$1001,B338)&gt;1,"⚠ Référence en double","✔ OK"))))</f>
        <v/>
      </c>
    </row>
    <row r="339" customFormat="false" ht="15" hidden="false" customHeight="false" outlineLevel="0" collapsed="false">
      <c r="A339" s="11"/>
      <c r="B339" s="27"/>
      <c r="C339" s="11"/>
      <c r="D339" s="11"/>
      <c r="E339" s="11"/>
      <c r="F339" s="27"/>
      <c r="G339" s="27"/>
      <c r="H339" s="11"/>
      <c r="I339" s="11"/>
      <c r="J339" s="12"/>
      <c r="K339" s="12"/>
      <c r="L339" s="28" t="str">
        <f aca="false">IF(AND(ISNUMBER(J339),ISNUMBER(K339),N(J339)&gt;0),1-K339/J339,"")</f>
        <v/>
      </c>
      <c r="M339" s="29"/>
      <c r="N339" s="30"/>
      <c r="O339" s="30"/>
      <c r="P339" s="11"/>
      <c r="Q339" s="31"/>
      <c r="R339" s="11"/>
      <c r="S339" s="11"/>
      <c r="T339" s="11"/>
      <c r="U339" s="32" t="str">
        <f aca="false">IF((LEN(A339)+LEN(B339)+LEN(C339)+LEN(D339)+LEN(E339)+LEN(F339)+LEN(G339)+LEN(H339)+LEN(I339)+LEN(J339)+LEN(K339)+LEN(M339)+LEN(N339)+LEN(O339)+LEN(P339)+LEN(Q339)+LEN(R339)+LEN(S339)+LEN(T339))=0,"",IF(OR(A339="",B339="",C339="",D339="",E339="",J339="",K339="",N339=""),"⚠ Champ obligatoire manquant",IF(AND(ISNUMBER(K339),ISNUMBER(J339),N(K339)&gt;N(J339)),"⚠ Prix Autopiec &gt; prix public",IF(COUNTIFS($A$2:$A$1001,A339,$B$2:$B$1001,B339)&gt;1,"⚠ Référence en double","✔ OK"))))</f>
        <v/>
      </c>
    </row>
    <row r="340" customFormat="false" ht="15" hidden="false" customHeight="false" outlineLevel="0" collapsed="false">
      <c r="A340" s="11"/>
      <c r="B340" s="27"/>
      <c r="C340" s="11"/>
      <c r="D340" s="11"/>
      <c r="E340" s="11"/>
      <c r="F340" s="27"/>
      <c r="G340" s="27"/>
      <c r="H340" s="11"/>
      <c r="I340" s="11"/>
      <c r="J340" s="12"/>
      <c r="K340" s="12"/>
      <c r="L340" s="28" t="str">
        <f aca="false">IF(AND(ISNUMBER(J340),ISNUMBER(K340),N(J340)&gt;0),1-K340/J340,"")</f>
        <v/>
      </c>
      <c r="M340" s="29"/>
      <c r="N340" s="30"/>
      <c r="O340" s="30"/>
      <c r="P340" s="11"/>
      <c r="Q340" s="31"/>
      <c r="R340" s="11"/>
      <c r="S340" s="11"/>
      <c r="T340" s="11"/>
      <c r="U340" s="32" t="str">
        <f aca="false">IF((LEN(A340)+LEN(B340)+LEN(C340)+LEN(D340)+LEN(E340)+LEN(F340)+LEN(G340)+LEN(H340)+LEN(I340)+LEN(J340)+LEN(K340)+LEN(M340)+LEN(N340)+LEN(O340)+LEN(P340)+LEN(Q340)+LEN(R340)+LEN(S340)+LEN(T340))=0,"",IF(OR(A340="",B340="",C340="",D340="",E340="",J340="",K340="",N340=""),"⚠ Champ obligatoire manquant",IF(AND(ISNUMBER(K340),ISNUMBER(J340),N(K340)&gt;N(J340)),"⚠ Prix Autopiec &gt; prix public",IF(COUNTIFS($A$2:$A$1001,A340,$B$2:$B$1001,B340)&gt;1,"⚠ Référence en double","✔ OK"))))</f>
        <v/>
      </c>
    </row>
    <row r="341" customFormat="false" ht="15" hidden="false" customHeight="false" outlineLevel="0" collapsed="false">
      <c r="A341" s="11"/>
      <c r="B341" s="27"/>
      <c r="C341" s="11"/>
      <c r="D341" s="11"/>
      <c r="E341" s="11"/>
      <c r="F341" s="27"/>
      <c r="G341" s="27"/>
      <c r="H341" s="11"/>
      <c r="I341" s="11"/>
      <c r="J341" s="12"/>
      <c r="K341" s="12"/>
      <c r="L341" s="28" t="str">
        <f aca="false">IF(AND(ISNUMBER(J341),ISNUMBER(K341),N(J341)&gt;0),1-K341/J341,"")</f>
        <v/>
      </c>
      <c r="M341" s="29"/>
      <c r="N341" s="30"/>
      <c r="O341" s="30"/>
      <c r="P341" s="11"/>
      <c r="Q341" s="31"/>
      <c r="R341" s="11"/>
      <c r="S341" s="11"/>
      <c r="T341" s="11"/>
      <c r="U341" s="32" t="str">
        <f aca="false">IF((LEN(A341)+LEN(B341)+LEN(C341)+LEN(D341)+LEN(E341)+LEN(F341)+LEN(G341)+LEN(H341)+LEN(I341)+LEN(J341)+LEN(K341)+LEN(M341)+LEN(N341)+LEN(O341)+LEN(P341)+LEN(Q341)+LEN(R341)+LEN(S341)+LEN(T341))=0,"",IF(OR(A341="",B341="",C341="",D341="",E341="",J341="",K341="",N341=""),"⚠ Champ obligatoire manquant",IF(AND(ISNUMBER(K341),ISNUMBER(J341),N(K341)&gt;N(J341)),"⚠ Prix Autopiec &gt; prix public",IF(COUNTIFS($A$2:$A$1001,A341,$B$2:$B$1001,B341)&gt;1,"⚠ Référence en double","✔ OK"))))</f>
        <v/>
      </c>
    </row>
    <row r="342" customFormat="false" ht="15" hidden="false" customHeight="false" outlineLevel="0" collapsed="false">
      <c r="A342" s="11"/>
      <c r="B342" s="27"/>
      <c r="C342" s="11"/>
      <c r="D342" s="11"/>
      <c r="E342" s="11"/>
      <c r="F342" s="27"/>
      <c r="G342" s="27"/>
      <c r="H342" s="11"/>
      <c r="I342" s="11"/>
      <c r="J342" s="12"/>
      <c r="K342" s="12"/>
      <c r="L342" s="28" t="str">
        <f aca="false">IF(AND(ISNUMBER(J342),ISNUMBER(K342),N(J342)&gt;0),1-K342/J342,"")</f>
        <v/>
      </c>
      <c r="M342" s="29"/>
      <c r="N342" s="30"/>
      <c r="O342" s="30"/>
      <c r="P342" s="11"/>
      <c r="Q342" s="31"/>
      <c r="R342" s="11"/>
      <c r="S342" s="11"/>
      <c r="T342" s="11"/>
      <c r="U342" s="32" t="str">
        <f aca="false">IF((LEN(A342)+LEN(B342)+LEN(C342)+LEN(D342)+LEN(E342)+LEN(F342)+LEN(G342)+LEN(H342)+LEN(I342)+LEN(J342)+LEN(K342)+LEN(M342)+LEN(N342)+LEN(O342)+LEN(P342)+LEN(Q342)+LEN(R342)+LEN(S342)+LEN(T342))=0,"",IF(OR(A342="",B342="",C342="",D342="",E342="",J342="",K342="",N342=""),"⚠ Champ obligatoire manquant",IF(AND(ISNUMBER(K342),ISNUMBER(J342),N(K342)&gt;N(J342)),"⚠ Prix Autopiec &gt; prix public",IF(COUNTIFS($A$2:$A$1001,A342,$B$2:$B$1001,B342)&gt;1,"⚠ Référence en double","✔ OK"))))</f>
        <v/>
      </c>
    </row>
    <row r="343" customFormat="false" ht="15" hidden="false" customHeight="false" outlineLevel="0" collapsed="false">
      <c r="A343" s="11"/>
      <c r="B343" s="27"/>
      <c r="C343" s="11"/>
      <c r="D343" s="11"/>
      <c r="E343" s="11"/>
      <c r="F343" s="27"/>
      <c r="G343" s="27"/>
      <c r="H343" s="11"/>
      <c r="I343" s="11"/>
      <c r="J343" s="12"/>
      <c r="K343" s="12"/>
      <c r="L343" s="28" t="str">
        <f aca="false">IF(AND(ISNUMBER(J343),ISNUMBER(K343),N(J343)&gt;0),1-K343/J343,"")</f>
        <v/>
      </c>
      <c r="M343" s="29"/>
      <c r="N343" s="30"/>
      <c r="O343" s="30"/>
      <c r="P343" s="11"/>
      <c r="Q343" s="31"/>
      <c r="R343" s="11"/>
      <c r="S343" s="11"/>
      <c r="T343" s="11"/>
      <c r="U343" s="32" t="str">
        <f aca="false">IF((LEN(A343)+LEN(B343)+LEN(C343)+LEN(D343)+LEN(E343)+LEN(F343)+LEN(G343)+LEN(H343)+LEN(I343)+LEN(J343)+LEN(K343)+LEN(M343)+LEN(N343)+LEN(O343)+LEN(P343)+LEN(Q343)+LEN(R343)+LEN(S343)+LEN(T343))=0,"",IF(OR(A343="",B343="",C343="",D343="",E343="",J343="",K343="",N343=""),"⚠ Champ obligatoire manquant",IF(AND(ISNUMBER(K343),ISNUMBER(J343),N(K343)&gt;N(J343)),"⚠ Prix Autopiec &gt; prix public",IF(COUNTIFS($A$2:$A$1001,A343,$B$2:$B$1001,B343)&gt;1,"⚠ Référence en double","✔ OK"))))</f>
        <v/>
      </c>
    </row>
    <row r="344" customFormat="false" ht="15" hidden="false" customHeight="false" outlineLevel="0" collapsed="false">
      <c r="A344" s="11"/>
      <c r="B344" s="27"/>
      <c r="C344" s="11"/>
      <c r="D344" s="11"/>
      <c r="E344" s="11"/>
      <c r="F344" s="27"/>
      <c r="G344" s="27"/>
      <c r="H344" s="11"/>
      <c r="I344" s="11"/>
      <c r="J344" s="12"/>
      <c r="K344" s="12"/>
      <c r="L344" s="28" t="str">
        <f aca="false">IF(AND(ISNUMBER(J344),ISNUMBER(K344),N(J344)&gt;0),1-K344/J344,"")</f>
        <v/>
      </c>
      <c r="M344" s="29"/>
      <c r="N344" s="30"/>
      <c r="O344" s="30"/>
      <c r="P344" s="11"/>
      <c r="Q344" s="31"/>
      <c r="R344" s="11"/>
      <c r="S344" s="11"/>
      <c r="T344" s="11"/>
      <c r="U344" s="32" t="str">
        <f aca="false">IF((LEN(A344)+LEN(B344)+LEN(C344)+LEN(D344)+LEN(E344)+LEN(F344)+LEN(G344)+LEN(H344)+LEN(I344)+LEN(J344)+LEN(K344)+LEN(M344)+LEN(N344)+LEN(O344)+LEN(P344)+LEN(Q344)+LEN(R344)+LEN(S344)+LEN(T344))=0,"",IF(OR(A344="",B344="",C344="",D344="",E344="",J344="",K344="",N344=""),"⚠ Champ obligatoire manquant",IF(AND(ISNUMBER(K344),ISNUMBER(J344),N(K344)&gt;N(J344)),"⚠ Prix Autopiec &gt; prix public",IF(COUNTIFS($A$2:$A$1001,A344,$B$2:$B$1001,B344)&gt;1,"⚠ Référence en double","✔ OK"))))</f>
        <v/>
      </c>
    </row>
    <row r="345" customFormat="false" ht="15" hidden="false" customHeight="false" outlineLevel="0" collapsed="false">
      <c r="A345" s="11"/>
      <c r="B345" s="27"/>
      <c r="C345" s="11"/>
      <c r="D345" s="11"/>
      <c r="E345" s="11"/>
      <c r="F345" s="27"/>
      <c r="G345" s="27"/>
      <c r="H345" s="11"/>
      <c r="I345" s="11"/>
      <c r="J345" s="12"/>
      <c r="K345" s="12"/>
      <c r="L345" s="28" t="str">
        <f aca="false">IF(AND(ISNUMBER(J345),ISNUMBER(K345),N(J345)&gt;0),1-K345/J345,"")</f>
        <v/>
      </c>
      <c r="M345" s="29"/>
      <c r="N345" s="30"/>
      <c r="O345" s="30"/>
      <c r="P345" s="11"/>
      <c r="Q345" s="31"/>
      <c r="R345" s="11"/>
      <c r="S345" s="11"/>
      <c r="T345" s="11"/>
      <c r="U345" s="32" t="str">
        <f aca="false">IF((LEN(A345)+LEN(B345)+LEN(C345)+LEN(D345)+LEN(E345)+LEN(F345)+LEN(G345)+LEN(H345)+LEN(I345)+LEN(J345)+LEN(K345)+LEN(M345)+LEN(N345)+LEN(O345)+LEN(P345)+LEN(Q345)+LEN(R345)+LEN(S345)+LEN(T345))=0,"",IF(OR(A345="",B345="",C345="",D345="",E345="",J345="",K345="",N345=""),"⚠ Champ obligatoire manquant",IF(AND(ISNUMBER(K345),ISNUMBER(J345),N(K345)&gt;N(J345)),"⚠ Prix Autopiec &gt; prix public",IF(COUNTIFS($A$2:$A$1001,A345,$B$2:$B$1001,B345)&gt;1,"⚠ Référence en double","✔ OK"))))</f>
        <v/>
      </c>
    </row>
    <row r="346" customFormat="false" ht="15" hidden="false" customHeight="false" outlineLevel="0" collapsed="false">
      <c r="A346" s="11"/>
      <c r="B346" s="27"/>
      <c r="C346" s="11"/>
      <c r="D346" s="11"/>
      <c r="E346" s="11"/>
      <c r="F346" s="27"/>
      <c r="G346" s="27"/>
      <c r="H346" s="11"/>
      <c r="I346" s="11"/>
      <c r="J346" s="12"/>
      <c r="K346" s="12"/>
      <c r="L346" s="28" t="str">
        <f aca="false">IF(AND(ISNUMBER(J346),ISNUMBER(K346),N(J346)&gt;0),1-K346/J346,"")</f>
        <v/>
      </c>
      <c r="M346" s="29"/>
      <c r="N346" s="30"/>
      <c r="O346" s="30"/>
      <c r="P346" s="11"/>
      <c r="Q346" s="31"/>
      <c r="R346" s="11"/>
      <c r="S346" s="11"/>
      <c r="T346" s="11"/>
      <c r="U346" s="32" t="str">
        <f aca="false">IF((LEN(A346)+LEN(B346)+LEN(C346)+LEN(D346)+LEN(E346)+LEN(F346)+LEN(G346)+LEN(H346)+LEN(I346)+LEN(J346)+LEN(K346)+LEN(M346)+LEN(N346)+LEN(O346)+LEN(P346)+LEN(Q346)+LEN(R346)+LEN(S346)+LEN(T346))=0,"",IF(OR(A346="",B346="",C346="",D346="",E346="",J346="",K346="",N346=""),"⚠ Champ obligatoire manquant",IF(AND(ISNUMBER(K346),ISNUMBER(J346),N(K346)&gt;N(J346)),"⚠ Prix Autopiec &gt; prix public",IF(COUNTIFS($A$2:$A$1001,A346,$B$2:$B$1001,B346)&gt;1,"⚠ Référence en double","✔ OK"))))</f>
        <v/>
      </c>
    </row>
    <row r="347" customFormat="false" ht="15" hidden="false" customHeight="false" outlineLevel="0" collapsed="false">
      <c r="A347" s="11"/>
      <c r="B347" s="27"/>
      <c r="C347" s="11"/>
      <c r="D347" s="11"/>
      <c r="E347" s="11"/>
      <c r="F347" s="27"/>
      <c r="G347" s="27"/>
      <c r="H347" s="11"/>
      <c r="I347" s="11"/>
      <c r="J347" s="12"/>
      <c r="K347" s="12"/>
      <c r="L347" s="28" t="str">
        <f aca="false">IF(AND(ISNUMBER(J347),ISNUMBER(K347),N(J347)&gt;0),1-K347/J347,"")</f>
        <v/>
      </c>
      <c r="M347" s="29"/>
      <c r="N347" s="30"/>
      <c r="O347" s="30"/>
      <c r="P347" s="11"/>
      <c r="Q347" s="31"/>
      <c r="R347" s="11"/>
      <c r="S347" s="11"/>
      <c r="T347" s="11"/>
      <c r="U347" s="32" t="str">
        <f aca="false">IF((LEN(A347)+LEN(B347)+LEN(C347)+LEN(D347)+LEN(E347)+LEN(F347)+LEN(G347)+LEN(H347)+LEN(I347)+LEN(J347)+LEN(K347)+LEN(M347)+LEN(N347)+LEN(O347)+LEN(P347)+LEN(Q347)+LEN(R347)+LEN(S347)+LEN(T347))=0,"",IF(OR(A347="",B347="",C347="",D347="",E347="",J347="",K347="",N347=""),"⚠ Champ obligatoire manquant",IF(AND(ISNUMBER(K347),ISNUMBER(J347),N(K347)&gt;N(J347)),"⚠ Prix Autopiec &gt; prix public",IF(COUNTIFS($A$2:$A$1001,A347,$B$2:$B$1001,B347)&gt;1,"⚠ Référence en double","✔ OK"))))</f>
        <v/>
      </c>
    </row>
    <row r="348" customFormat="false" ht="15" hidden="false" customHeight="false" outlineLevel="0" collapsed="false">
      <c r="A348" s="11"/>
      <c r="B348" s="27"/>
      <c r="C348" s="11"/>
      <c r="D348" s="11"/>
      <c r="E348" s="11"/>
      <c r="F348" s="27"/>
      <c r="G348" s="27"/>
      <c r="H348" s="11"/>
      <c r="I348" s="11"/>
      <c r="J348" s="12"/>
      <c r="K348" s="12"/>
      <c r="L348" s="28" t="str">
        <f aca="false">IF(AND(ISNUMBER(J348),ISNUMBER(K348),N(J348)&gt;0),1-K348/J348,"")</f>
        <v/>
      </c>
      <c r="M348" s="29"/>
      <c r="N348" s="30"/>
      <c r="O348" s="30"/>
      <c r="P348" s="11"/>
      <c r="Q348" s="31"/>
      <c r="R348" s="11"/>
      <c r="S348" s="11"/>
      <c r="T348" s="11"/>
      <c r="U348" s="32" t="str">
        <f aca="false">IF((LEN(A348)+LEN(B348)+LEN(C348)+LEN(D348)+LEN(E348)+LEN(F348)+LEN(G348)+LEN(H348)+LEN(I348)+LEN(J348)+LEN(K348)+LEN(M348)+LEN(N348)+LEN(O348)+LEN(P348)+LEN(Q348)+LEN(R348)+LEN(S348)+LEN(T348))=0,"",IF(OR(A348="",B348="",C348="",D348="",E348="",J348="",K348="",N348=""),"⚠ Champ obligatoire manquant",IF(AND(ISNUMBER(K348),ISNUMBER(J348),N(K348)&gt;N(J348)),"⚠ Prix Autopiec &gt; prix public",IF(COUNTIFS($A$2:$A$1001,A348,$B$2:$B$1001,B348)&gt;1,"⚠ Référence en double","✔ OK"))))</f>
        <v/>
      </c>
    </row>
    <row r="349" customFormat="false" ht="15" hidden="false" customHeight="false" outlineLevel="0" collapsed="false">
      <c r="A349" s="11"/>
      <c r="B349" s="27"/>
      <c r="C349" s="11"/>
      <c r="D349" s="11"/>
      <c r="E349" s="11"/>
      <c r="F349" s="27"/>
      <c r="G349" s="27"/>
      <c r="H349" s="11"/>
      <c r="I349" s="11"/>
      <c r="J349" s="12"/>
      <c r="K349" s="12"/>
      <c r="L349" s="28" t="str">
        <f aca="false">IF(AND(ISNUMBER(J349),ISNUMBER(K349),N(J349)&gt;0),1-K349/J349,"")</f>
        <v/>
      </c>
      <c r="M349" s="29"/>
      <c r="N349" s="30"/>
      <c r="O349" s="30"/>
      <c r="P349" s="11"/>
      <c r="Q349" s="31"/>
      <c r="R349" s="11"/>
      <c r="S349" s="11"/>
      <c r="T349" s="11"/>
      <c r="U349" s="32" t="str">
        <f aca="false">IF((LEN(A349)+LEN(B349)+LEN(C349)+LEN(D349)+LEN(E349)+LEN(F349)+LEN(G349)+LEN(H349)+LEN(I349)+LEN(J349)+LEN(K349)+LEN(M349)+LEN(N349)+LEN(O349)+LEN(P349)+LEN(Q349)+LEN(R349)+LEN(S349)+LEN(T349))=0,"",IF(OR(A349="",B349="",C349="",D349="",E349="",J349="",K349="",N349=""),"⚠ Champ obligatoire manquant",IF(AND(ISNUMBER(K349),ISNUMBER(J349),N(K349)&gt;N(J349)),"⚠ Prix Autopiec &gt; prix public",IF(COUNTIFS($A$2:$A$1001,A349,$B$2:$B$1001,B349)&gt;1,"⚠ Référence en double","✔ OK"))))</f>
        <v/>
      </c>
    </row>
    <row r="350" customFormat="false" ht="15" hidden="false" customHeight="false" outlineLevel="0" collapsed="false">
      <c r="A350" s="11"/>
      <c r="B350" s="27"/>
      <c r="C350" s="11"/>
      <c r="D350" s="11"/>
      <c r="E350" s="11"/>
      <c r="F350" s="27"/>
      <c r="G350" s="27"/>
      <c r="H350" s="11"/>
      <c r="I350" s="11"/>
      <c r="J350" s="12"/>
      <c r="K350" s="12"/>
      <c r="L350" s="28" t="str">
        <f aca="false">IF(AND(ISNUMBER(J350),ISNUMBER(K350),N(J350)&gt;0),1-K350/J350,"")</f>
        <v/>
      </c>
      <c r="M350" s="29"/>
      <c r="N350" s="30"/>
      <c r="O350" s="30"/>
      <c r="P350" s="11"/>
      <c r="Q350" s="31"/>
      <c r="R350" s="11"/>
      <c r="S350" s="11"/>
      <c r="T350" s="11"/>
      <c r="U350" s="32" t="str">
        <f aca="false">IF((LEN(A350)+LEN(B350)+LEN(C350)+LEN(D350)+LEN(E350)+LEN(F350)+LEN(G350)+LEN(H350)+LEN(I350)+LEN(J350)+LEN(K350)+LEN(M350)+LEN(N350)+LEN(O350)+LEN(P350)+LEN(Q350)+LEN(R350)+LEN(S350)+LEN(T350))=0,"",IF(OR(A350="",B350="",C350="",D350="",E350="",J350="",K350="",N350=""),"⚠ Champ obligatoire manquant",IF(AND(ISNUMBER(K350),ISNUMBER(J350),N(K350)&gt;N(J350)),"⚠ Prix Autopiec &gt; prix public",IF(COUNTIFS($A$2:$A$1001,A350,$B$2:$B$1001,B350)&gt;1,"⚠ Référence en double","✔ OK"))))</f>
        <v/>
      </c>
    </row>
    <row r="351" customFormat="false" ht="15" hidden="false" customHeight="false" outlineLevel="0" collapsed="false">
      <c r="A351" s="11"/>
      <c r="B351" s="27"/>
      <c r="C351" s="11"/>
      <c r="D351" s="11"/>
      <c r="E351" s="11"/>
      <c r="F351" s="27"/>
      <c r="G351" s="27"/>
      <c r="H351" s="11"/>
      <c r="I351" s="11"/>
      <c r="J351" s="12"/>
      <c r="K351" s="12"/>
      <c r="L351" s="28" t="str">
        <f aca="false">IF(AND(ISNUMBER(J351),ISNUMBER(K351),N(J351)&gt;0),1-K351/J351,"")</f>
        <v/>
      </c>
      <c r="M351" s="29"/>
      <c r="N351" s="30"/>
      <c r="O351" s="30"/>
      <c r="P351" s="11"/>
      <c r="Q351" s="31"/>
      <c r="R351" s="11"/>
      <c r="S351" s="11"/>
      <c r="T351" s="11"/>
      <c r="U351" s="32" t="str">
        <f aca="false">IF((LEN(A351)+LEN(B351)+LEN(C351)+LEN(D351)+LEN(E351)+LEN(F351)+LEN(G351)+LEN(H351)+LEN(I351)+LEN(J351)+LEN(K351)+LEN(M351)+LEN(N351)+LEN(O351)+LEN(P351)+LEN(Q351)+LEN(R351)+LEN(S351)+LEN(T351))=0,"",IF(OR(A351="",B351="",C351="",D351="",E351="",J351="",K351="",N351=""),"⚠ Champ obligatoire manquant",IF(AND(ISNUMBER(K351),ISNUMBER(J351),N(K351)&gt;N(J351)),"⚠ Prix Autopiec &gt; prix public",IF(COUNTIFS($A$2:$A$1001,A351,$B$2:$B$1001,B351)&gt;1,"⚠ Référence en double","✔ OK"))))</f>
        <v/>
      </c>
    </row>
    <row r="352" customFormat="false" ht="15" hidden="false" customHeight="false" outlineLevel="0" collapsed="false">
      <c r="A352" s="11"/>
      <c r="B352" s="27"/>
      <c r="C352" s="11"/>
      <c r="D352" s="11"/>
      <c r="E352" s="11"/>
      <c r="F352" s="27"/>
      <c r="G352" s="27"/>
      <c r="H352" s="11"/>
      <c r="I352" s="11"/>
      <c r="J352" s="12"/>
      <c r="K352" s="12"/>
      <c r="L352" s="28" t="str">
        <f aca="false">IF(AND(ISNUMBER(J352),ISNUMBER(K352),N(J352)&gt;0),1-K352/J352,"")</f>
        <v/>
      </c>
      <c r="M352" s="29"/>
      <c r="N352" s="30"/>
      <c r="O352" s="30"/>
      <c r="P352" s="11"/>
      <c r="Q352" s="31"/>
      <c r="R352" s="11"/>
      <c r="S352" s="11"/>
      <c r="T352" s="11"/>
      <c r="U352" s="32" t="str">
        <f aca="false">IF((LEN(A352)+LEN(B352)+LEN(C352)+LEN(D352)+LEN(E352)+LEN(F352)+LEN(G352)+LEN(H352)+LEN(I352)+LEN(J352)+LEN(K352)+LEN(M352)+LEN(N352)+LEN(O352)+LEN(P352)+LEN(Q352)+LEN(R352)+LEN(S352)+LEN(T352))=0,"",IF(OR(A352="",B352="",C352="",D352="",E352="",J352="",K352="",N352=""),"⚠ Champ obligatoire manquant",IF(AND(ISNUMBER(K352),ISNUMBER(J352),N(K352)&gt;N(J352)),"⚠ Prix Autopiec &gt; prix public",IF(COUNTIFS($A$2:$A$1001,A352,$B$2:$B$1001,B352)&gt;1,"⚠ Référence en double","✔ OK"))))</f>
        <v/>
      </c>
    </row>
    <row r="353" customFormat="false" ht="15" hidden="false" customHeight="false" outlineLevel="0" collapsed="false">
      <c r="A353" s="11"/>
      <c r="B353" s="27"/>
      <c r="C353" s="11"/>
      <c r="D353" s="11"/>
      <c r="E353" s="11"/>
      <c r="F353" s="27"/>
      <c r="G353" s="27"/>
      <c r="H353" s="11"/>
      <c r="I353" s="11"/>
      <c r="J353" s="12"/>
      <c r="K353" s="12"/>
      <c r="L353" s="28" t="str">
        <f aca="false">IF(AND(ISNUMBER(J353),ISNUMBER(K353),N(J353)&gt;0),1-K353/J353,"")</f>
        <v/>
      </c>
      <c r="M353" s="29"/>
      <c r="N353" s="30"/>
      <c r="O353" s="30"/>
      <c r="P353" s="11"/>
      <c r="Q353" s="31"/>
      <c r="R353" s="11"/>
      <c r="S353" s="11"/>
      <c r="T353" s="11"/>
      <c r="U353" s="32" t="str">
        <f aca="false">IF((LEN(A353)+LEN(B353)+LEN(C353)+LEN(D353)+LEN(E353)+LEN(F353)+LEN(G353)+LEN(H353)+LEN(I353)+LEN(J353)+LEN(K353)+LEN(M353)+LEN(N353)+LEN(O353)+LEN(P353)+LEN(Q353)+LEN(R353)+LEN(S353)+LEN(T353))=0,"",IF(OR(A353="",B353="",C353="",D353="",E353="",J353="",K353="",N353=""),"⚠ Champ obligatoire manquant",IF(AND(ISNUMBER(K353),ISNUMBER(J353),N(K353)&gt;N(J353)),"⚠ Prix Autopiec &gt; prix public",IF(COUNTIFS($A$2:$A$1001,A353,$B$2:$B$1001,B353)&gt;1,"⚠ Référence en double","✔ OK"))))</f>
        <v/>
      </c>
    </row>
    <row r="354" customFormat="false" ht="15" hidden="false" customHeight="false" outlineLevel="0" collapsed="false">
      <c r="A354" s="11"/>
      <c r="B354" s="27"/>
      <c r="C354" s="11"/>
      <c r="D354" s="11"/>
      <c r="E354" s="11"/>
      <c r="F354" s="27"/>
      <c r="G354" s="27"/>
      <c r="H354" s="11"/>
      <c r="I354" s="11"/>
      <c r="J354" s="12"/>
      <c r="K354" s="12"/>
      <c r="L354" s="28" t="str">
        <f aca="false">IF(AND(ISNUMBER(J354),ISNUMBER(K354),N(J354)&gt;0),1-K354/J354,"")</f>
        <v/>
      </c>
      <c r="M354" s="29"/>
      <c r="N354" s="30"/>
      <c r="O354" s="30"/>
      <c r="P354" s="11"/>
      <c r="Q354" s="31"/>
      <c r="R354" s="11"/>
      <c r="S354" s="11"/>
      <c r="T354" s="11"/>
      <c r="U354" s="32" t="str">
        <f aca="false">IF((LEN(A354)+LEN(B354)+LEN(C354)+LEN(D354)+LEN(E354)+LEN(F354)+LEN(G354)+LEN(H354)+LEN(I354)+LEN(J354)+LEN(K354)+LEN(M354)+LEN(N354)+LEN(O354)+LEN(P354)+LEN(Q354)+LEN(R354)+LEN(S354)+LEN(T354))=0,"",IF(OR(A354="",B354="",C354="",D354="",E354="",J354="",K354="",N354=""),"⚠ Champ obligatoire manquant",IF(AND(ISNUMBER(K354),ISNUMBER(J354),N(K354)&gt;N(J354)),"⚠ Prix Autopiec &gt; prix public",IF(COUNTIFS($A$2:$A$1001,A354,$B$2:$B$1001,B354)&gt;1,"⚠ Référence en double","✔ OK"))))</f>
        <v/>
      </c>
    </row>
    <row r="355" customFormat="false" ht="15" hidden="false" customHeight="false" outlineLevel="0" collapsed="false">
      <c r="A355" s="11"/>
      <c r="B355" s="27"/>
      <c r="C355" s="11"/>
      <c r="D355" s="11"/>
      <c r="E355" s="11"/>
      <c r="F355" s="27"/>
      <c r="G355" s="27"/>
      <c r="H355" s="11"/>
      <c r="I355" s="11"/>
      <c r="J355" s="12"/>
      <c r="K355" s="12"/>
      <c r="L355" s="28" t="str">
        <f aca="false">IF(AND(ISNUMBER(J355),ISNUMBER(K355),N(J355)&gt;0),1-K355/J355,"")</f>
        <v/>
      </c>
      <c r="M355" s="29"/>
      <c r="N355" s="30"/>
      <c r="O355" s="30"/>
      <c r="P355" s="11"/>
      <c r="Q355" s="31"/>
      <c r="R355" s="11"/>
      <c r="S355" s="11"/>
      <c r="T355" s="11"/>
      <c r="U355" s="32" t="str">
        <f aca="false">IF((LEN(A355)+LEN(B355)+LEN(C355)+LEN(D355)+LEN(E355)+LEN(F355)+LEN(G355)+LEN(H355)+LEN(I355)+LEN(J355)+LEN(K355)+LEN(M355)+LEN(N355)+LEN(O355)+LEN(P355)+LEN(Q355)+LEN(R355)+LEN(S355)+LEN(T355))=0,"",IF(OR(A355="",B355="",C355="",D355="",E355="",J355="",K355="",N355=""),"⚠ Champ obligatoire manquant",IF(AND(ISNUMBER(K355),ISNUMBER(J355),N(K355)&gt;N(J355)),"⚠ Prix Autopiec &gt; prix public",IF(COUNTIFS($A$2:$A$1001,A355,$B$2:$B$1001,B355)&gt;1,"⚠ Référence en double","✔ OK"))))</f>
        <v/>
      </c>
    </row>
    <row r="356" customFormat="false" ht="15" hidden="false" customHeight="false" outlineLevel="0" collapsed="false">
      <c r="A356" s="11"/>
      <c r="B356" s="27"/>
      <c r="C356" s="11"/>
      <c r="D356" s="11"/>
      <c r="E356" s="11"/>
      <c r="F356" s="27"/>
      <c r="G356" s="27"/>
      <c r="H356" s="11"/>
      <c r="I356" s="11"/>
      <c r="J356" s="12"/>
      <c r="K356" s="12"/>
      <c r="L356" s="28" t="str">
        <f aca="false">IF(AND(ISNUMBER(J356),ISNUMBER(K356),N(J356)&gt;0),1-K356/J356,"")</f>
        <v/>
      </c>
      <c r="M356" s="29"/>
      <c r="N356" s="30"/>
      <c r="O356" s="30"/>
      <c r="P356" s="11"/>
      <c r="Q356" s="31"/>
      <c r="R356" s="11"/>
      <c r="S356" s="11"/>
      <c r="T356" s="11"/>
      <c r="U356" s="32" t="str">
        <f aca="false">IF((LEN(A356)+LEN(B356)+LEN(C356)+LEN(D356)+LEN(E356)+LEN(F356)+LEN(G356)+LEN(H356)+LEN(I356)+LEN(J356)+LEN(K356)+LEN(M356)+LEN(N356)+LEN(O356)+LEN(P356)+LEN(Q356)+LEN(R356)+LEN(S356)+LEN(T356))=0,"",IF(OR(A356="",B356="",C356="",D356="",E356="",J356="",K356="",N356=""),"⚠ Champ obligatoire manquant",IF(AND(ISNUMBER(K356),ISNUMBER(J356),N(K356)&gt;N(J356)),"⚠ Prix Autopiec &gt; prix public",IF(COUNTIFS($A$2:$A$1001,A356,$B$2:$B$1001,B356)&gt;1,"⚠ Référence en double","✔ OK"))))</f>
        <v/>
      </c>
    </row>
    <row r="357" customFormat="false" ht="15" hidden="false" customHeight="false" outlineLevel="0" collapsed="false">
      <c r="A357" s="11"/>
      <c r="B357" s="27"/>
      <c r="C357" s="11"/>
      <c r="D357" s="11"/>
      <c r="E357" s="11"/>
      <c r="F357" s="27"/>
      <c r="G357" s="27"/>
      <c r="H357" s="11"/>
      <c r="I357" s="11"/>
      <c r="J357" s="12"/>
      <c r="K357" s="12"/>
      <c r="L357" s="28" t="str">
        <f aca="false">IF(AND(ISNUMBER(J357),ISNUMBER(K357),N(J357)&gt;0),1-K357/J357,"")</f>
        <v/>
      </c>
      <c r="M357" s="29"/>
      <c r="N357" s="30"/>
      <c r="O357" s="30"/>
      <c r="P357" s="11"/>
      <c r="Q357" s="31"/>
      <c r="R357" s="11"/>
      <c r="S357" s="11"/>
      <c r="T357" s="11"/>
      <c r="U357" s="32" t="str">
        <f aca="false">IF((LEN(A357)+LEN(B357)+LEN(C357)+LEN(D357)+LEN(E357)+LEN(F357)+LEN(G357)+LEN(H357)+LEN(I357)+LEN(J357)+LEN(K357)+LEN(M357)+LEN(N357)+LEN(O357)+LEN(P357)+LEN(Q357)+LEN(R357)+LEN(S357)+LEN(T357))=0,"",IF(OR(A357="",B357="",C357="",D357="",E357="",J357="",K357="",N357=""),"⚠ Champ obligatoire manquant",IF(AND(ISNUMBER(K357),ISNUMBER(J357),N(K357)&gt;N(J357)),"⚠ Prix Autopiec &gt; prix public",IF(COUNTIFS($A$2:$A$1001,A357,$B$2:$B$1001,B357)&gt;1,"⚠ Référence en double","✔ OK"))))</f>
        <v/>
      </c>
    </row>
    <row r="358" customFormat="false" ht="15" hidden="false" customHeight="false" outlineLevel="0" collapsed="false">
      <c r="A358" s="11"/>
      <c r="B358" s="27"/>
      <c r="C358" s="11"/>
      <c r="D358" s="11"/>
      <c r="E358" s="11"/>
      <c r="F358" s="27"/>
      <c r="G358" s="27"/>
      <c r="H358" s="11"/>
      <c r="I358" s="11"/>
      <c r="J358" s="12"/>
      <c r="K358" s="12"/>
      <c r="L358" s="28" t="str">
        <f aca="false">IF(AND(ISNUMBER(J358),ISNUMBER(K358),N(J358)&gt;0),1-K358/J358,"")</f>
        <v/>
      </c>
      <c r="M358" s="29"/>
      <c r="N358" s="30"/>
      <c r="O358" s="30"/>
      <c r="P358" s="11"/>
      <c r="Q358" s="31"/>
      <c r="R358" s="11"/>
      <c r="S358" s="11"/>
      <c r="T358" s="11"/>
      <c r="U358" s="32" t="str">
        <f aca="false">IF((LEN(A358)+LEN(B358)+LEN(C358)+LEN(D358)+LEN(E358)+LEN(F358)+LEN(G358)+LEN(H358)+LEN(I358)+LEN(J358)+LEN(K358)+LEN(M358)+LEN(N358)+LEN(O358)+LEN(P358)+LEN(Q358)+LEN(R358)+LEN(S358)+LEN(T358))=0,"",IF(OR(A358="",B358="",C358="",D358="",E358="",J358="",K358="",N358=""),"⚠ Champ obligatoire manquant",IF(AND(ISNUMBER(K358),ISNUMBER(J358),N(K358)&gt;N(J358)),"⚠ Prix Autopiec &gt; prix public",IF(COUNTIFS($A$2:$A$1001,A358,$B$2:$B$1001,B358)&gt;1,"⚠ Référence en double","✔ OK"))))</f>
        <v/>
      </c>
    </row>
    <row r="359" customFormat="false" ht="15" hidden="false" customHeight="false" outlineLevel="0" collapsed="false">
      <c r="A359" s="11"/>
      <c r="B359" s="27"/>
      <c r="C359" s="11"/>
      <c r="D359" s="11"/>
      <c r="E359" s="11"/>
      <c r="F359" s="27"/>
      <c r="G359" s="27"/>
      <c r="H359" s="11"/>
      <c r="I359" s="11"/>
      <c r="J359" s="12"/>
      <c r="K359" s="12"/>
      <c r="L359" s="28" t="str">
        <f aca="false">IF(AND(ISNUMBER(J359),ISNUMBER(K359),N(J359)&gt;0),1-K359/J359,"")</f>
        <v/>
      </c>
      <c r="M359" s="29"/>
      <c r="N359" s="30"/>
      <c r="O359" s="30"/>
      <c r="P359" s="11"/>
      <c r="Q359" s="31"/>
      <c r="R359" s="11"/>
      <c r="S359" s="11"/>
      <c r="T359" s="11"/>
      <c r="U359" s="32" t="str">
        <f aca="false">IF((LEN(A359)+LEN(B359)+LEN(C359)+LEN(D359)+LEN(E359)+LEN(F359)+LEN(G359)+LEN(H359)+LEN(I359)+LEN(J359)+LEN(K359)+LEN(M359)+LEN(N359)+LEN(O359)+LEN(P359)+LEN(Q359)+LEN(R359)+LEN(S359)+LEN(T359))=0,"",IF(OR(A359="",B359="",C359="",D359="",E359="",J359="",K359="",N359=""),"⚠ Champ obligatoire manquant",IF(AND(ISNUMBER(K359),ISNUMBER(J359),N(K359)&gt;N(J359)),"⚠ Prix Autopiec &gt; prix public",IF(COUNTIFS($A$2:$A$1001,A359,$B$2:$B$1001,B359)&gt;1,"⚠ Référence en double","✔ OK"))))</f>
        <v/>
      </c>
    </row>
    <row r="360" customFormat="false" ht="15" hidden="false" customHeight="false" outlineLevel="0" collapsed="false">
      <c r="A360" s="11"/>
      <c r="B360" s="27"/>
      <c r="C360" s="11"/>
      <c r="D360" s="11"/>
      <c r="E360" s="11"/>
      <c r="F360" s="27"/>
      <c r="G360" s="27"/>
      <c r="H360" s="11"/>
      <c r="I360" s="11"/>
      <c r="J360" s="12"/>
      <c r="K360" s="12"/>
      <c r="L360" s="28" t="str">
        <f aca="false">IF(AND(ISNUMBER(J360),ISNUMBER(K360),N(J360)&gt;0),1-K360/J360,"")</f>
        <v/>
      </c>
      <c r="M360" s="29"/>
      <c r="N360" s="30"/>
      <c r="O360" s="30"/>
      <c r="P360" s="11"/>
      <c r="Q360" s="31"/>
      <c r="R360" s="11"/>
      <c r="S360" s="11"/>
      <c r="T360" s="11"/>
      <c r="U360" s="32" t="str">
        <f aca="false">IF((LEN(A360)+LEN(B360)+LEN(C360)+LEN(D360)+LEN(E360)+LEN(F360)+LEN(G360)+LEN(H360)+LEN(I360)+LEN(J360)+LEN(K360)+LEN(M360)+LEN(N360)+LEN(O360)+LEN(P360)+LEN(Q360)+LEN(R360)+LEN(S360)+LEN(T360))=0,"",IF(OR(A360="",B360="",C360="",D360="",E360="",J360="",K360="",N360=""),"⚠ Champ obligatoire manquant",IF(AND(ISNUMBER(K360),ISNUMBER(J360),N(K360)&gt;N(J360)),"⚠ Prix Autopiec &gt; prix public",IF(COUNTIFS($A$2:$A$1001,A360,$B$2:$B$1001,B360)&gt;1,"⚠ Référence en double","✔ OK"))))</f>
        <v/>
      </c>
    </row>
    <row r="361" customFormat="false" ht="15" hidden="false" customHeight="false" outlineLevel="0" collapsed="false">
      <c r="A361" s="11"/>
      <c r="B361" s="27"/>
      <c r="C361" s="11"/>
      <c r="D361" s="11"/>
      <c r="E361" s="11"/>
      <c r="F361" s="27"/>
      <c r="G361" s="27"/>
      <c r="H361" s="11"/>
      <c r="I361" s="11"/>
      <c r="J361" s="12"/>
      <c r="K361" s="12"/>
      <c r="L361" s="28" t="str">
        <f aca="false">IF(AND(ISNUMBER(J361),ISNUMBER(K361),N(J361)&gt;0),1-K361/J361,"")</f>
        <v/>
      </c>
      <c r="M361" s="29"/>
      <c r="N361" s="30"/>
      <c r="O361" s="30"/>
      <c r="P361" s="11"/>
      <c r="Q361" s="31"/>
      <c r="R361" s="11"/>
      <c r="S361" s="11"/>
      <c r="T361" s="11"/>
      <c r="U361" s="32" t="str">
        <f aca="false">IF((LEN(A361)+LEN(B361)+LEN(C361)+LEN(D361)+LEN(E361)+LEN(F361)+LEN(G361)+LEN(H361)+LEN(I361)+LEN(J361)+LEN(K361)+LEN(M361)+LEN(N361)+LEN(O361)+LEN(P361)+LEN(Q361)+LEN(R361)+LEN(S361)+LEN(T361))=0,"",IF(OR(A361="",B361="",C361="",D361="",E361="",J361="",K361="",N361=""),"⚠ Champ obligatoire manquant",IF(AND(ISNUMBER(K361),ISNUMBER(J361),N(K361)&gt;N(J361)),"⚠ Prix Autopiec &gt; prix public",IF(COUNTIFS($A$2:$A$1001,A361,$B$2:$B$1001,B361)&gt;1,"⚠ Référence en double","✔ OK"))))</f>
        <v/>
      </c>
    </row>
    <row r="362" customFormat="false" ht="15" hidden="false" customHeight="false" outlineLevel="0" collapsed="false">
      <c r="A362" s="11"/>
      <c r="B362" s="27"/>
      <c r="C362" s="11"/>
      <c r="D362" s="11"/>
      <c r="E362" s="11"/>
      <c r="F362" s="27"/>
      <c r="G362" s="27"/>
      <c r="H362" s="11"/>
      <c r="I362" s="11"/>
      <c r="J362" s="12"/>
      <c r="K362" s="12"/>
      <c r="L362" s="28" t="str">
        <f aca="false">IF(AND(ISNUMBER(J362),ISNUMBER(K362),N(J362)&gt;0),1-K362/J362,"")</f>
        <v/>
      </c>
      <c r="M362" s="29"/>
      <c r="N362" s="30"/>
      <c r="O362" s="30"/>
      <c r="P362" s="11"/>
      <c r="Q362" s="31"/>
      <c r="R362" s="11"/>
      <c r="S362" s="11"/>
      <c r="T362" s="11"/>
      <c r="U362" s="32" t="str">
        <f aca="false">IF((LEN(A362)+LEN(B362)+LEN(C362)+LEN(D362)+LEN(E362)+LEN(F362)+LEN(G362)+LEN(H362)+LEN(I362)+LEN(J362)+LEN(K362)+LEN(M362)+LEN(N362)+LEN(O362)+LEN(P362)+LEN(Q362)+LEN(R362)+LEN(S362)+LEN(T362))=0,"",IF(OR(A362="",B362="",C362="",D362="",E362="",J362="",K362="",N362=""),"⚠ Champ obligatoire manquant",IF(AND(ISNUMBER(K362),ISNUMBER(J362),N(K362)&gt;N(J362)),"⚠ Prix Autopiec &gt; prix public",IF(COUNTIFS($A$2:$A$1001,A362,$B$2:$B$1001,B362)&gt;1,"⚠ Référence en double","✔ OK"))))</f>
        <v/>
      </c>
    </row>
    <row r="363" customFormat="false" ht="15" hidden="false" customHeight="false" outlineLevel="0" collapsed="false">
      <c r="A363" s="11"/>
      <c r="B363" s="27"/>
      <c r="C363" s="11"/>
      <c r="D363" s="11"/>
      <c r="E363" s="11"/>
      <c r="F363" s="27"/>
      <c r="G363" s="27"/>
      <c r="H363" s="11"/>
      <c r="I363" s="11"/>
      <c r="J363" s="12"/>
      <c r="K363" s="12"/>
      <c r="L363" s="28" t="str">
        <f aca="false">IF(AND(ISNUMBER(J363),ISNUMBER(K363),N(J363)&gt;0),1-K363/J363,"")</f>
        <v/>
      </c>
      <c r="M363" s="29"/>
      <c r="N363" s="30"/>
      <c r="O363" s="30"/>
      <c r="P363" s="11"/>
      <c r="Q363" s="31"/>
      <c r="R363" s="11"/>
      <c r="S363" s="11"/>
      <c r="T363" s="11"/>
      <c r="U363" s="32" t="str">
        <f aca="false">IF((LEN(A363)+LEN(B363)+LEN(C363)+LEN(D363)+LEN(E363)+LEN(F363)+LEN(G363)+LEN(H363)+LEN(I363)+LEN(J363)+LEN(K363)+LEN(M363)+LEN(N363)+LEN(O363)+LEN(P363)+LEN(Q363)+LEN(R363)+LEN(S363)+LEN(T363))=0,"",IF(OR(A363="",B363="",C363="",D363="",E363="",J363="",K363="",N363=""),"⚠ Champ obligatoire manquant",IF(AND(ISNUMBER(K363),ISNUMBER(J363),N(K363)&gt;N(J363)),"⚠ Prix Autopiec &gt; prix public",IF(COUNTIFS($A$2:$A$1001,A363,$B$2:$B$1001,B363)&gt;1,"⚠ Référence en double","✔ OK"))))</f>
        <v/>
      </c>
    </row>
    <row r="364" customFormat="false" ht="15" hidden="false" customHeight="false" outlineLevel="0" collapsed="false">
      <c r="A364" s="11"/>
      <c r="B364" s="27"/>
      <c r="C364" s="11"/>
      <c r="D364" s="11"/>
      <c r="E364" s="11"/>
      <c r="F364" s="27"/>
      <c r="G364" s="27"/>
      <c r="H364" s="11"/>
      <c r="I364" s="11"/>
      <c r="J364" s="12"/>
      <c r="K364" s="12"/>
      <c r="L364" s="28" t="str">
        <f aca="false">IF(AND(ISNUMBER(J364),ISNUMBER(K364),N(J364)&gt;0),1-K364/J364,"")</f>
        <v/>
      </c>
      <c r="M364" s="29"/>
      <c r="N364" s="30"/>
      <c r="O364" s="30"/>
      <c r="P364" s="11"/>
      <c r="Q364" s="31"/>
      <c r="R364" s="11"/>
      <c r="S364" s="11"/>
      <c r="T364" s="11"/>
      <c r="U364" s="32" t="str">
        <f aca="false">IF((LEN(A364)+LEN(B364)+LEN(C364)+LEN(D364)+LEN(E364)+LEN(F364)+LEN(G364)+LEN(H364)+LEN(I364)+LEN(J364)+LEN(K364)+LEN(M364)+LEN(N364)+LEN(O364)+LEN(P364)+LEN(Q364)+LEN(R364)+LEN(S364)+LEN(T364))=0,"",IF(OR(A364="",B364="",C364="",D364="",E364="",J364="",K364="",N364=""),"⚠ Champ obligatoire manquant",IF(AND(ISNUMBER(K364),ISNUMBER(J364),N(K364)&gt;N(J364)),"⚠ Prix Autopiec &gt; prix public",IF(COUNTIFS($A$2:$A$1001,A364,$B$2:$B$1001,B364)&gt;1,"⚠ Référence en double","✔ OK"))))</f>
        <v/>
      </c>
    </row>
    <row r="365" customFormat="false" ht="15" hidden="false" customHeight="false" outlineLevel="0" collapsed="false">
      <c r="A365" s="11"/>
      <c r="B365" s="27"/>
      <c r="C365" s="11"/>
      <c r="D365" s="11"/>
      <c r="E365" s="11"/>
      <c r="F365" s="27"/>
      <c r="G365" s="27"/>
      <c r="H365" s="11"/>
      <c r="I365" s="11"/>
      <c r="J365" s="12"/>
      <c r="K365" s="12"/>
      <c r="L365" s="28" t="str">
        <f aca="false">IF(AND(ISNUMBER(J365),ISNUMBER(K365),N(J365)&gt;0),1-K365/J365,"")</f>
        <v/>
      </c>
      <c r="M365" s="29"/>
      <c r="N365" s="30"/>
      <c r="O365" s="30"/>
      <c r="P365" s="11"/>
      <c r="Q365" s="31"/>
      <c r="R365" s="11"/>
      <c r="S365" s="11"/>
      <c r="T365" s="11"/>
      <c r="U365" s="32" t="str">
        <f aca="false">IF((LEN(A365)+LEN(B365)+LEN(C365)+LEN(D365)+LEN(E365)+LEN(F365)+LEN(G365)+LEN(H365)+LEN(I365)+LEN(J365)+LEN(K365)+LEN(M365)+LEN(N365)+LEN(O365)+LEN(P365)+LEN(Q365)+LEN(R365)+LEN(S365)+LEN(T365))=0,"",IF(OR(A365="",B365="",C365="",D365="",E365="",J365="",K365="",N365=""),"⚠ Champ obligatoire manquant",IF(AND(ISNUMBER(K365),ISNUMBER(J365),N(K365)&gt;N(J365)),"⚠ Prix Autopiec &gt; prix public",IF(COUNTIFS($A$2:$A$1001,A365,$B$2:$B$1001,B365)&gt;1,"⚠ Référence en double","✔ OK"))))</f>
        <v/>
      </c>
    </row>
    <row r="366" customFormat="false" ht="15" hidden="false" customHeight="false" outlineLevel="0" collapsed="false">
      <c r="A366" s="11"/>
      <c r="B366" s="27"/>
      <c r="C366" s="11"/>
      <c r="D366" s="11"/>
      <c r="E366" s="11"/>
      <c r="F366" s="27"/>
      <c r="G366" s="27"/>
      <c r="H366" s="11"/>
      <c r="I366" s="11"/>
      <c r="J366" s="12"/>
      <c r="K366" s="12"/>
      <c r="L366" s="28" t="str">
        <f aca="false">IF(AND(ISNUMBER(J366),ISNUMBER(K366),N(J366)&gt;0),1-K366/J366,"")</f>
        <v/>
      </c>
      <c r="M366" s="29"/>
      <c r="N366" s="30"/>
      <c r="O366" s="30"/>
      <c r="P366" s="11"/>
      <c r="Q366" s="31"/>
      <c r="R366" s="11"/>
      <c r="S366" s="11"/>
      <c r="T366" s="11"/>
      <c r="U366" s="32" t="str">
        <f aca="false">IF((LEN(A366)+LEN(B366)+LEN(C366)+LEN(D366)+LEN(E366)+LEN(F366)+LEN(G366)+LEN(H366)+LEN(I366)+LEN(J366)+LEN(K366)+LEN(M366)+LEN(N366)+LEN(O366)+LEN(P366)+LEN(Q366)+LEN(R366)+LEN(S366)+LEN(T366))=0,"",IF(OR(A366="",B366="",C366="",D366="",E366="",J366="",K366="",N366=""),"⚠ Champ obligatoire manquant",IF(AND(ISNUMBER(K366),ISNUMBER(J366),N(K366)&gt;N(J366)),"⚠ Prix Autopiec &gt; prix public",IF(COUNTIFS($A$2:$A$1001,A366,$B$2:$B$1001,B366)&gt;1,"⚠ Référence en double","✔ OK"))))</f>
        <v/>
      </c>
    </row>
    <row r="367" customFormat="false" ht="15" hidden="false" customHeight="false" outlineLevel="0" collapsed="false">
      <c r="A367" s="11"/>
      <c r="B367" s="27"/>
      <c r="C367" s="11"/>
      <c r="D367" s="11"/>
      <c r="E367" s="11"/>
      <c r="F367" s="27"/>
      <c r="G367" s="27"/>
      <c r="H367" s="11"/>
      <c r="I367" s="11"/>
      <c r="J367" s="12"/>
      <c r="K367" s="12"/>
      <c r="L367" s="28" t="str">
        <f aca="false">IF(AND(ISNUMBER(J367),ISNUMBER(K367),N(J367)&gt;0),1-K367/J367,"")</f>
        <v/>
      </c>
      <c r="M367" s="29"/>
      <c r="N367" s="30"/>
      <c r="O367" s="30"/>
      <c r="P367" s="11"/>
      <c r="Q367" s="31"/>
      <c r="R367" s="11"/>
      <c r="S367" s="11"/>
      <c r="T367" s="11"/>
      <c r="U367" s="32" t="str">
        <f aca="false">IF((LEN(A367)+LEN(B367)+LEN(C367)+LEN(D367)+LEN(E367)+LEN(F367)+LEN(G367)+LEN(H367)+LEN(I367)+LEN(J367)+LEN(K367)+LEN(M367)+LEN(N367)+LEN(O367)+LEN(P367)+LEN(Q367)+LEN(R367)+LEN(S367)+LEN(T367))=0,"",IF(OR(A367="",B367="",C367="",D367="",E367="",J367="",K367="",N367=""),"⚠ Champ obligatoire manquant",IF(AND(ISNUMBER(K367),ISNUMBER(J367),N(K367)&gt;N(J367)),"⚠ Prix Autopiec &gt; prix public",IF(COUNTIFS($A$2:$A$1001,A367,$B$2:$B$1001,B367)&gt;1,"⚠ Référence en double","✔ OK"))))</f>
        <v/>
      </c>
    </row>
    <row r="368" customFormat="false" ht="15" hidden="false" customHeight="false" outlineLevel="0" collapsed="false">
      <c r="A368" s="11"/>
      <c r="B368" s="27"/>
      <c r="C368" s="11"/>
      <c r="D368" s="11"/>
      <c r="E368" s="11"/>
      <c r="F368" s="27"/>
      <c r="G368" s="27"/>
      <c r="H368" s="11"/>
      <c r="I368" s="11"/>
      <c r="J368" s="12"/>
      <c r="K368" s="12"/>
      <c r="L368" s="28" t="str">
        <f aca="false">IF(AND(ISNUMBER(J368),ISNUMBER(K368),N(J368)&gt;0),1-K368/J368,"")</f>
        <v/>
      </c>
      <c r="M368" s="29"/>
      <c r="N368" s="30"/>
      <c r="O368" s="30"/>
      <c r="P368" s="11"/>
      <c r="Q368" s="31"/>
      <c r="R368" s="11"/>
      <c r="S368" s="11"/>
      <c r="T368" s="11"/>
      <c r="U368" s="32" t="str">
        <f aca="false">IF((LEN(A368)+LEN(B368)+LEN(C368)+LEN(D368)+LEN(E368)+LEN(F368)+LEN(G368)+LEN(H368)+LEN(I368)+LEN(J368)+LEN(K368)+LEN(M368)+LEN(N368)+LEN(O368)+LEN(P368)+LEN(Q368)+LEN(R368)+LEN(S368)+LEN(T368))=0,"",IF(OR(A368="",B368="",C368="",D368="",E368="",J368="",K368="",N368=""),"⚠ Champ obligatoire manquant",IF(AND(ISNUMBER(K368),ISNUMBER(J368),N(K368)&gt;N(J368)),"⚠ Prix Autopiec &gt; prix public",IF(COUNTIFS($A$2:$A$1001,A368,$B$2:$B$1001,B368)&gt;1,"⚠ Référence en double","✔ OK"))))</f>
        <v/>
      </c>
    </row>
    <row r="369" customFormat="false" ht="15" hidden="false" customHeight="false" outlineLevel="0" collapsed="false">
      <c r="A369" s="11"/>
      <c r="B369" s="27"/>
      <c r="C369" s="11"/>
      <c r="D369" s="11"/>
      <c r="E369" s="11"/>
      <c r="F369" s="27"/>
      <c r="G369" s="27"/>
      <c r="H369" s="11"/>
      <c r="I369" s="11"/>
      <c r="J369" s="12"/>
      <c r="K369" s="12"/>
      <c r="L369" s="28" t="str">
        <f aca="false">IF(AND(ISNUMBER(J369),ISNUMBER(K369),N(J369)&gt;0),1-K369/J369,"")</f>
        <v/>
      </c>
      <c r="M369" s="29"/>
      <c r="N369" s="30"/>
      <c r="O369" s="30"/>
      <c r="P369" s="11"/>
      <c r="Q369" s="31"/>
      <c r="R369" s="11"/>
      <c r="S369" s="11"/>
      <c r="T369" s="11"/>
      <c r="U369" s="32" t="str">
        <f aca="false">IF((LEN(A369)+LEN(B369)+LEN(C369)+LEN(D369)+LEN(E369)+LEN(F369)+LEN(G369)+LEN(H369)+LEN(I369)+LEN(J369)+LEN(K369)+LEN(M369)+LEN(N369)+LEN(O369)+LEN(P369)+LEN(Q369)+LEN(R369)+LEN(S369)+LEN(T369))=0,"",IF(OR(A369="",B369="",C369="",D369="",E369="",J369="",K369="",N369=""),"⚠ Champ obligatoire manquant",IF(AND(ISNUMBER(K369),ISNUMBER(J369),N(K369)&gt;N(J369)),"⚠ Prix Autopiec &gt; prix public",IF(COUNTIFS($A$2:$A$1001,A369,$B$2:$B$1001,B369)&gt;1,"⚠ Référence en double","✔ OK"))))</f>
        <v/>
      </c>
    </row>
    <row r="370" customFormat="false" ht="15" hidden="false" customHeight="false" outlineLevel="0" collapsed="false">
      <c r="A370" s="11"/>
      <c r="B370" s="27"/>
      <c r="C370" s="11"/>
      <c r="D370" s="11"/>
      <c r="E370" s="11"/>
      <c r="F370" s="27"/>
      <c r="G370" s="27"/>
      <c r="H370" s="11"/>
      <c r="I370" s="11"/>
      <c r="J370" s="12"/>
      <c r="K370" s="12"/>
      <c r="L370" s="28" t="str">
        <f aca="false">IF(AND(ISNUMBER(J370),ISNUMBER(K370),N(J370)&gt;0),1-K370/J370,"")</f>
        <v/>
      </c>
      <c r="M370" s="29"/>
      <c r="N370" s="30"/>
      <c r="O370" s="30"/>
      <c r="P370" s="11"/>
      <c r="Q370" s="31"/>
      <c r="R370" s="11"/>
      <c r="S370" s="11"/>
      <c r="T370" s="11"/>
      <c r="U370" s="32" t="str">
        <f aca="false">IF((LEN(A370)+LEN(B370)+LEN(C370)+LEN(D370)+LEN(E370)+LEN(F370)+LEN(G370)+LEN(H370)+LEN(I370)+LEN(J370)+LEN(K370)+LEN(M370)+LEN(N370)+LEN(O370)+LEN(P370)+LEN(Q370)+LEN(R370)+LEN(S370)+LEN(T370))=0,"",IF(OR(A370="",B370="",C370="",D370="",E370="",J370="",K370="",N370=""),"⚠ Champ obligatoire manquant",IF(AND(ISNUMBER(K370),ISNUMBER(J370),N(K370)&gt;N(J370)),"⚠ Prix Autopiec &gt; prix public",IF(COUNTIFS($A$2:$A$1001,A370,$B$2:$B$1001,B370)&gt;1,"⚠ Référence en double","✔ OK"))))</f>
        <v/>
      </c>
    </row>
    <row r="371" customFormat="false" ht="15" hidden="false" customHeight="false" outlineLevel="0" collapsed="false">
      <c r="A371" s="11"/>
      <c r="B371" s="27"/>
      <c r="C371" s="11"/>
      <c r="D371" s="11"/>
      <c r="E371" s="11"/>
      <c r="F371" s="27"/>
      <c r="G371" s="27"/>
      <c r="H371" s="11"/>
      <c r="I371" s="11"/>
      <c r="J371" s="12"/>
      <c r="K371" s="12"/>
      <c r="L371" s="28" t="str">
        <f aca="false">IF(AND(ISNUMBER(J371),ISNUMBER(K371),N(J371)&gt;0),1-K371/J371,"")</f>
        <v/>
      </c>
      <c r="M371" s="29"/>
      <c r="N371" s="30"/>
      <c r="O371" s="30"/>
      <c r="P371" s="11"/>
      <c r="Q371" s="31"/>
      <c r="R371" s="11"/>
      <c r="S371" s="11"/>
      <c r="T371" s="11"/>
      <c r="U371" s="32" t="str">
        <f aca="false">IF((LEN(A371)+LEN(B371)+LEN(C371)+LEN(D371)+LEN(E371)+LEN(F371)+LEN(G371)+LEN(H371)+LEN(I371)+LEN(J371)+LEN(K371)+LEN(M371)+LEN(N371)+LEN(O371)+LEN(P371)+LEN(Q371)+LEN(R371)+LEN(S371)+LEN(T371))=0,"",IF(OR(A371="",B371="",C371="",D371="",E371="",J371="",K371="",N371=""),"⚠ Champ obligatoire manquant",IF(AND(ISNUMBER(K371),ISNUMBER(J371),N(K371)&gt;N(J371)),"⚠ Prix Autopiec &gt; prix public",IF(COUNTIFS($A$2:$A$1001,A371,$B$2:$B$1001,B371)&gt;1,"⚠ Référence en double","✔ OK"))))</f>
        <v/>
      </c>
    </row>
    <row r="372" customFormat="false" ht="15" hidden="false" customHeight="false" outlineLevel="0" collapsed="false">
      <c r="A372" s="11"/>
      <c r="B372" s="27"/>
      <c r="C372" s="11"/>
      <c r="D372" s="11"/>
      <c r="E372" s="11"/>
      <c r="F372" s="27"/>
      <c r="G372" s="27"/>
      <c r="H372" s="11"/>
      <c r="I372" s="11"/>
      <c r="J372" s="12"/>
      <c r="K372" s="12"/>
      <c r="L372" s="28" t="str">
        <f aca="false">IF(AND(ISNUMBER(J372),ISNUMBER(K372),N(J372)&gt;0),1-K372/J372,"")</f>
        <v/>
      </c>
      <c r="M372" s="29"/>
      <c r="N372" s="30"/>
      <c r="O372" s="30"/>
      <c r="P372" s="11"/>
      <c r="Q372" s="31"/>
      <c r="R372" s="11"/>
      <c r="S372" s="11"/>
      <c r="T372" s="11"/>
      <c r="U372" s="32" t="str">
        <f aca="false">IF((LEN(A372)+LEN(B372)+LEN(C372)+LEN(D372)+LEN(E372)+LEN(F372)+LEN(G372)+LEN(H372)+LEN(I372)+LEN(J372)+LEN(K372)+LEN(M372)+LEN(N372)+LEN(O372)+LEN(P372)+LEN(Q372)+LEN(R372)+LEN(S372)+LEN(T372))=0,"",IF(OR(A372="",B372="",C372="",D372="",E372="",J372="",K372="",N372=""),"⚠ Champ obligatoire manquant",IF(AND(ISNUMBER(K372),ISNUMBER(J372),N(K372)&gt;N(J372)),"⚠ Prix Autopiec &gt; prix public",IF(COUNTIFS($A$2:$A$1001,A372,$B$2:$B$1001,B372)&gt;1,"⚠ Référence en double","✔ OK"))))</f>
        <v/>
      </c>
    </row>
    <row r="373" customFormat="false" ht="15" hidden="false" customHeight="false" outlineLevel="0" collapsed="false">
      <c r="A373" s="11"/>
      <c r="B373" s="27"/>
      <c r="C373" s="11"/>
      <c r="D373" s="11"/>
      <c r="E373" s="11"/>
      <c r="F373" s="27"/>
      <c r="G373" s="27"/>
      <c r="H373" s="11"/>
      <c r="I373" s="11"/>
      <c r="J373" s="12"/>
      <c r="K373" s="12"/>
      <c r="L373" s="28" t="str">
        <f aca="false">IF(AND(ISNUMBER(J373),ISNUMBER(K373),N(J373)&gt;0),1-K373/J373,"")</f>
        <v/>
      </c>
      <c r="M373" s="29"/>
      <c r="N373" s="30"/>
      <c r="O373" s="30"/>
      <c r="P373" s="11"/>
      <c r="Q373" s="31"/>
      <c r="R373" s="11"/>
      <c r="S373" s="11"/>
      <c r="T373" s="11"/>
      <c r="U373" s="32" t="str">
        <f aca="false">IF((LEN(A373)+LEN(B373)+LEN(C373)+LEN(D373)+LEN(E373)+LEN(F373)+LEN(G373)+LEN(H373)+LEN(I373)+LEN(J373)+LEN(K373)+LEN(M373)+LEN(N373)+LEN(O373)+LEN(P373)+LEN(Q373)+LEN(R373)+LEN(S373)+LEN(T373))=0,"",IF(OR(A373="",B373="",C373="",D373="",E373="",J373="",K373="",N373=""),"⚠ Champ obligatoire manquant",IF(AND(ISNUMBER(K373),ISNUMBER(J373),N(K373)&gt;N(J373)),"⚠ Prix Autopiec &gt; prix public",IF(COUNTIFS($A$2:$A$1001,A373,$B$2:$B$1001,B373)&gt;1,"⚠ Référence en double","✔ OK"))))</f>
        <v/>
      </c>
    </row>
    <row r="374" customFormat="false" ht="15" hidden="false" customHeight="false" outlineLevel="0" collapsed="false">
      <c r="A374" s="11"/>
      <c r="B374" s="27"/>
      <c r="C374" s="11"/>
      <c r="D374" s="11"/>
      <c r="E374" s="11"/>
      <c r="F374" s="27"/>
      <c r="G374" s="27"/>
      <c r="H374" s="11"/>
      <c r="I374" s="11"/>
      <c r="J374" s="12"/>
      <c r="K374" s="12"/>
      <c r="L374" s="28" t="str">
        <f aca="false">IF(AND(ISNUMBER(J374),ISNUMBER(K374),N(J374)&gt;0),1-K374/J374,"")</f>
        <v/>
      </c>
      <c r="M374" s="29"/>
      <c r="N374" s="30"/>
      <c r="O374" s="30"/>
      <c r="P374" s="11"/>
      <c r="Q374" s="31"/>
      <c r="R374" s="11"/>
      <c r="S374" s="11"/>
      <c r="T374" s="11"/>
      <c r="U374" s="32" t="str">
        <f aca="false">IF((LEN(A374)+LEN(B374)+LEN(C374)+LEN(D374)+LEN(E374)+LEN(F374)+LEN(G374)+LEN(H374)+LEN(I374)+LEN(J374)+LEN(K374)+LEN(M374)+LEN(N374)+LEN(O374)+LEN(P374)+LEN(Q374)+LEN(R374)+LEN(S374)+LEN(T374))=0,"",IF(OR(A374="",B374="",C374="",D374="",E374="",J374="",K374="",N374=""),"⚠ Champ obligatoire manquant",IF(AND(ISNUMBER(K374),ISNUMBER(J374),N(K374)&gt;N(J374)),"⚠ Prix Autopiec &gt; prix public",IF(COUNTIFS($A$2:$A$1001,A374,$B$2:$B$1001,B374)&gt;1,"⚠ Référence en double","✔ OK"))))</f>
        <v/>
      </c>
    </row>
    <row r="375" customFormat="false" ht="15" hidden="false" customHeight="false" outlineLevel="0" collapsed="false">
      <c r="A375" s="11"/>
      <c r="B375" s="27"/>
      <c r="C375" s="11"/>
      <c r="D375" s="11"/>
      <c r="E375" s="11"/>
      <c r="F375" s="27"/>
      <c r="G375" s="27"/>
      <c r="H375" s="11"/>
      <c r="I375" s="11"/>
      <c r="J375" s="12"/>
      <c r="K375" s="12"/>
      <c r="L375" s="28" t="str">
        <f aca="false">IF(AND(ISNUMBER(J375),ISNUMBER(K375),N(J375)&gt;0),1-K375/J375,"")</f>
        <v/>
      </c>
      <c r="M375" s="29"/>
      <c r="N375" s="30"/>
      <c r="O375" s="30"/>
      <c r="P375" s="11"/>
      <c r="Q375" s="31"/>
      <c r="R375" s="11"/>
      <c r="S375" s="11"/>
      <c r="T375" s="11"/>
      <c r="U375" s="32" t="str">
        <f aca="false">IF((LEN(A375)+LEN(B375)+LEN(C375)+LEN(D375)+LEN(E375)+LEN(F375)+LEN(G375)+LEN(H375)+LEN(I375)+LEN(J375)+LEN(K375)+LEN(M375)+LEN(N375)+LEN(O375)+LEN(P375)+LEN(Q375)+LEN(R375)+LEN(S375)+LEN(T375))=0,"",IF(OR(A375="",B375="",C375="",D375="",E375="",J375="",K375="",N375=""),"⚠ Champ obligatoire manquant",IF(AND(ISNUMBER(K375),ISNUMBER(J375),N(K375)&gt;N(J375)),"⚠ Prix Autopiec &gt; prix public",IF(COUNTIFS($A$2:$A$1001,A375,$B$2:$B$1001,B375)&gt;1,"⚠ Référence en double","✔ OK"))))</f>
        <v/>
      </c>
    </row>
    <row r="376" customFormat="false" ht="15" hidden="false" customHeight="false" outlineLevel="0" collapsed="false">
      <c r="A376" s="11"/>
      <c r="B376" s="27"/>
      <c r="C376" s="11"/>
      <c r="D376" s="11"/>
      <c r="E376" s="11"/>
      <c r="F376" s="27"/>
      <c r="G376" s="27"/>
      <c r="H376" s="11"/>
      <c r="I376" s="11"/>
      <c r="J376" s="12"/>
      <c r="K376" s="12"/>
      <c r="L376" s="28" t="str">
        <f aca="false">IF(AND(ISNUMBER(J376),ISNUMBER(K376),N(J376)&gt;0),1-K376/J376,"")</f>
        <v/>
      </c>
      <c r="M376" s="29"/>
      <c r="N376" s="30"/>
      <c r="O376" s="30"/>
      <c r="P376" s="11"/>
      <c r="Q376" s="31"/>
      <c r="R376" s="11"/>
      <c r="S376" s="11"/>
      <c r="T376" s="11"/>
      <c r="U376" s="32" t="str">
        <f aca="false">IF((LEN(A376)+LEN(B376)+LEN(C376)+LEN(D376)+LEN(E376)+LEN(F376)+LEN(G376)+LEN(H376)+LEN(I376)+LEN(J376)+LEN(K376)+LEN(M376)+LEN(N376)+LEN(O376)+LEN(P376)+LEN(Q376)+LEN(R376)+LEN(S376)+LEN(T376))=0,"",IF(OR(A376="",B376="",C376="",D376="",E376="",J376="",K376="",N376=""),"⚠ Champ obligatoire manquant",IF(AND(ISNUMBER(K376),ISNUMBER(J376),N(K376)&gt;N(J376)),"⚠ Prix Autopiec &gt; prix public",IF(COUNTIFS($A$2:$A$1001,A376,$B$2:$B$1001,B376)&gt;1,"⚠ Référence en double","✔ OK"))))</f>
        <v/>
      </c>
    </row>
    <row r="377" customFormat="false" ht="15" hidden="false" customHeight="false" outlineLevel="0" collapsed="false">
      <c r="A377" s="11"/>
      <c r="B377" s="27"/>
      <c r="C377" s="11"/>
      <c r="D377" s="11"/>
      <c r="E377" s="11"/>
      <c r="F377" s="27"/>
      <c r="G377" s="27"/>
      <c r="H377" s="11"/>
      <c r="I377" s="11"/>
      <c r="J377" s="12"/>
      <c r="K377" s="12"/>
      <c r="L377" s="28" t="str">
        <f aca="false">IF(AND(ISNUMBER(J377),ISNUMBER(K377),N(J377)&gt;0),1-K377/J377,"")</f>
        <v/>
      </c>
      <c r="M377" s="29"/>
      <c r="N377" s="30"/>
      <c r="O377" s="30"/>
      <c r="P377" s="11"/>
      <c r="Q377" s="31"/>
      <c r="R377" s="11"/>
      <c r="S377" s="11"/>
      <c r="T377" s="11"/>
      <c r="U377" s="32" t="str">
        <f aca="false">IF((LEN(A377)+LEN(B377)+LEN(C377)+LEN(D377)+LEN(E377)+LEN(F377)+LEN(G377)+LEN(H377)+LEN(I377)+LEN(J377)+LEN(K377)+LEN(M377)+LEN(N377)+LEN(O377)+LEN(P377)+LEN(Q377)+LEN(R377)+LEN(S377)+LEN(T377))=0,"",IF(OR(A377="",B377="",C377="",D377="",E377="",J377="",K377="",N377=""),"⚠ Champ obligatoire manquant",IF(AND(ISNUMBER(K377),ISNUMBER(J377),N(K377)&gt;N(J377)),"⚠ Prix Autopiec &gt; prix public",IF(COUNTIFS($A$2:$A$1001,A377,$B$2:$B$1001,B377)&gt;1,"⚠ Référence en double","✔ OK"))))</f>
        <v/>
      </c>
    </row>
    <row r="378" customFormat="false" ht="15" hidden="false" customHeight="false" outlineLevel="0" collapsed="false">
      <c r="A378" s="11"/>
      <c r="B378" s="27"/>
      <c r="C378" s="11"/>
      <c r="D378" s="11"/>
      <c r="E378" s="11"/>
      <c r="F378" s="27"/>
      <c r="G378" s="27"/>
      <c r="H378" s="11"/>
      <c r="I378" s="11"/>
      <c r="J378" s="12"/>
      <c r="K378" s="12"/>
      <c r="L378" s="28" t="str">
        <f aca="false">IF(AND(ISNUMBER(J378),ISNUMBER(K378),N(J378)&gt;0),1-K378/J378,"")</f>
        <v/>
      </c>
      <c r="M378" s="29"/>
      <c r="N378" s="30"/>
      <c r="O378" s="30"/>
      <c r="P378" s="11"/>
      <c r="Q378" s="31"/>
      <c r="R378" s="11"/>
      <c r="S378" s="11"/>
      <c r="T378" s="11"/>
      <c r="U378" s="32" t="str">
        <f aca="false">IF((LEN(A378)+LEN(B378)+LEN(C378)+LEN(D378)+LEN(E378)+LEN(F378)+LEN(G378)+LEN(H378)+LEN(I378)+LEN(J378)+LEN(K378)+LEN(M378)+LEN(N378)+LEN(O378)+LEN(P378)+LEN(Q378)+LEN(R378)+LEN(S378)+LEN(T378))=0,"",IF(OR(A378="",B378="",C378="",D378="",E378="",J378="",K378="",N378=""),"⚠ Champ obligatoire manquant",IF(AND(ISNUMBER(K378),ISNUMBER(J378),N(K378)&gt;N(J378)),"⚠ Prix Autopiec &gt; prix public",IF(COUNTIFS($A$2:$A$1001,A378,$B$2:$B$1001,B378)&gt;1,"⚠ Référence en double","✔ OK"))))</f>
        <v/>
      </c>
    </row>
    <row r="379" customFormat="false" ht="15" hidden="false" customHeight="false" outlineLevel="0" collapsed="false">
      <c r="A379" s="11"/>
      <c r="B379" s="27"/>
      <c r="C379" s="11"/>
      <c r="D379" s="11"/>
      <c r="E379" s="11"/>
      <c r="F379" s="27"/>
      <c r="G379" s="27"/>
      <c r="H379" s="11"/>
      <c r="I379" s="11"/>
      <c r="J379" s="12"/>
      <c r="K379" s="12"/>
      <c r="L379" s="28" t="str">
        <f aca="false">IF(AND(ISNUMBER(J379),ISNUMBER(K379),N(J379)&gt;0),1-K379/J379,"")</f>
        <v/>
      </c>
      <c r="M379" s="29"/>
      <c r="N379" s="30"/>
      <c r="O379" s="30"/>
      <c r="P379" s="11"/>
      <c r="Q379" s="31"/>
      <c r="R379" s="11"/>
      <c r="S379" s="11"/>
      <c r="T379" s="11"/>
      <c r="U379" s="32" t="str">
        <f aca="false">IF((LEN(A379)+LEN(B379)+LEN(C379)+LEN(D379)+LEN(E379)+LEN(F379)+LEN(G379)+LEN(H379)+LEN(I379)+LEN(J379)+LEN(K379)+LEN(M379)+LEN(N379)+LEN(O379)+LEN(P379)+LEN(Q379)+LEN(R379)+LEN(S379)+LEN(T379))=0,"",IF(OR(A379="",B379="",C379="",D379="",E379="",J379="",K379="",N379=""),"⚠ Champ obligatoire manquant",IF(AND(ISNUMBER(K379),ISNUMBER(J379),N(K379)&gt;N(J379)),"⚠ Prix Autopiec &gt; prix public",IF(COUNTIFS($A$2:$A$1001,A379,$B$2:$B$1001,B379)&gt;1,"⚠ Référence en double","✔ OK"))))</f>
        <v/>
      </c>
    </row>
    <row r="380" customFormat="false" ht="15" hidden="false" customHeight="false" outlineLevel="0" collapsed="false">
      <c r="A380" s="11"/>
      <c r="B380" s="27"/>
      <c r="C380" s="11"/>
      <c r="D380" s="11"/>
      <c r="E380" s="11"/>
      <c r="F380" s="27"/>
      <c r="G380" s="27"/>
      <c r="H380" s="11"/>
      <c r="I380" s="11"/>
      <c r="J380" s="12"/>
      <c r="K380" s="12"/>
      <c r="L380" s="28" t="str">
        <f aca="false">IF(AND(ISNUMBER(J380),ISNUMBER(K380),N(J380)&gt;0),1-K380/J380,"")</f>
        <v/>
      </c>
      <c r="M380" s="29"/>
      <c r="N380" s="30"/>
      <c r="O380" s="30"/>
      <c r="P380" s="11"/>
      <c r="Q380" s="31"/>
      <c r="R380" s="11"/>
      <c r="S380" s="11"/>
      <c r="T380" s="11"/>
      <c r="U380" s="32" t="str">
        <f aca="false">IF((LEN(A380)+LEN(B380)+LEN(C380)+LEN(D380)+LEN(E380)+LEN(F380)+LEN(G380)+LEN(H380)+LEN(I380)+LEN(J380)+LEN(K380)+LEN(M380)+LEN(N380)+LEN(O380)+LEN(P380)+LEN(Q380)+LEN(R380)+LEN(S380)+LEN(T380))=0,"",IF(OR(A380="",B380="",C380="",D380="",E380="",J380="",K380="",N380=""),"⚠ Champ obligatoire manquant",IF(AND(ISNUMBER(K380),ISNUMBER(J380),N(K380)&gt;N(J380)),"⚠ Prix Autopiec &gt; prix public",IF(COUNTIFS($A$2:$A$1001,A380,$B$2:$B$1001,B380)&gt;1,"⚠ Référence en double","✔ OK"))))</f>
        <v/>
      </c>
    </row>
    <row r="381" customFormat="false" ht="15" hidden="false" customHeight="false" outlineLevel="0" collapsed="false">
      <c r="A381" s="11"/>
      <c r="B381" s="27"/>
      <c r="C381" s="11"/>
      <c r="D381" s="11"/>
      <c r="E381" s="11"/>
      <c r="F381" s="27"/>
      <c r="G381" s="27"/>
      <c r="H381" s="11"/>
      <c r="I381" s="11"/>
      <c r="J381" s="12"/>
      <c r="K381" s="12"/>
      <c r="L381" s="28" t="str">
        <f aca="false">IF(AND(ISNUMBER(J381),ISNUMBER(K381),N(J381)&gt;0),1-K381/J381,"")</f>
        <v/>
      </c>
      <c r="M381" s="29"/>
      <c r="N381" s="30"/>
      <c r="O381" s="30"/>
      <c r="P381" s="11"/>
      <c r="Q381" s="31"/>
      <c r="R381" s="11"/>
      <c r="S381" s="11"/>
      <c r="T381" s="11"/>
      <c r="U381" s="32" t="str">
        <f aca="false">IF((LEN(A381)+LEN(B381)+LEN(C381)+LEN(D381)+LEN(E381)+LEN(F381)+LEN(G381)+LEN(H381)+LEN(I381)+LEN(J381)+LEN(K381)+LEN(M381)+LEN(N381)+LEN(O381)+LEN(P381)+LEN(Q381)+LEN(R381)+LEN(S381)+LEN(T381))=0,"",IF(OR(A381="",B381="",C381="",D381="",E381="",J381="",K381="",N381=""),"⚠ Champ obligatoire manquant",IF(AND(ISNUMBER(K381),ISNUMBER(J381),N(K381)&gt;N(J381)),"⚠ Prix Autopiec &gt; prix public",IF(COUNTIFS($A$2:$A$1001,A381,$B$2:$B$1001,B381)&gt;1,"⚠ Référence en double","✔ OK"))))</f>
        <v/>
      </c>
    </row>
    <row r="382" customFormat="false" ht="15" hidden="false" customHeight="false" outlineLevel="0" collapsed="false">
      <c r="A382" s="11"/>
      <c r="B382" s="27"/>
      <c r="C382" s="11"/>
      <c r="D382" s="11"/>
      <c r="E382" s="11"/>
      <c r="F382" s="27"/>
      <c r="G382" s="27"/>
      <c r="H382" s="11"/>
      <c r="I382" s="11"/>
      <c r="J382" s="12"/>
      <c r="K382" s="12"/>
      <c r="L382" s="28" t="str">
        <f aca="false">IF(AND(ISNUMBER(J382),ISNUMBER(K382),N(J382)&gt;0),1-K382/J382,"")</f>
        <v/>
      </c>
      <c r="M382" s="29"/>
      <c r="N382" s="30"/>
      <c r="O382" s="30"/>
      <c r="P382" s="11"/>
      <c r="Q382" s="31"/>
      <c r="R382" s="11"/>
      <c r="S382" s="11"/>
      <c r="T382" s="11"/>
      <c r="U382" s="32" t="str">
        <f aca="false">IF((LEN(A382)+LEN(B382)+LEN(C382)+LEN(D382)+LEN(E382)+LEN(F382)+LEN(G382)+LEN(H382)+LEN(I382)+LEN(J382)+LEN(K382)+LEN(M382)+LEN(N382)+LEN(O382)+LEN(P382)+LEN(Q382)+LEN(R382)+LEN(S382)+LEN(T382))=0,"",IF(OR(A382="",B382="",C382="",D382="",E382="",J382="",K382="",N382=""),"⚠ Champ obligatoire manquant",IF(AND(ISNUMBER(K382),ISNUMBER(J382),N(K382)&gt;N(J382)),"⚠ Prix Autopiec &gt; prix public",IF(COUNTIFS($A$2:$A$1001,A382,$B$2:$B$1001,B382)&gt;1,"⚠ Référence en double","✔ OK"))))</f>
        <v/>
      </c>
    </row>
    <row r="383" customFormat="false" ht="15" hidden="false" customHeight="false" outlineLevel="0" collapsed="false">
      <c r="A383" s="11"/>
      <c r="B383" s="27"/>
      <c r="C383" s="11"/>
      <c r="D383" s="11"/>
      <c r="E383" s="11"/>
      <c r="F383" s="27"/>
      <c r="G383" s="27"/>
      <c r="H383" s="11"/>
      <c r="I383" s="11"/>
      <c r="J383" s="12"/>
      <c r="K383" s="12"/>
      <c r="L383" s="28" t="str">
        <f aca="false">IF(AND(ISNUMBER(J383),ISNUMBER(K383),N(J383)&gt;0),1-K383/J383,"")</f>
        <v/>
      </c>
      <c r="M383" s="29"/>
      <c r="N383" s="30"/>
      <c r="O383" s="30"/>
      <c r="P383" s="11"/>
      <c r="Q383" s="31"/>
      <c r="R383" s="11"/>
      <c r="S383" s="11"/>
      <c r="T383" s="11"/>
      <c r="U383" s="32" t="str">
        <f aca="false">IF((LEN(A383)+LEN(B383)+LEN(C383)+LEN(D383)+LEN(E383)+LEN(F383)+LEN(G383)+LEN(H383)+LEN(I383)+LEN(J383)+LEN(K383)+LEN(M383)+LEN(N383)+LEN(O383)+LEN(P383)+LEN(Q383)+LEN(R383)+LEN(S383)+LEN(T383))=0,"",IF(OR(A383="",B383="",C383="",D383="",E383="",J383="",K383="",N383=""),"⚠ Champ obligatoire manquant",IF(AND(ISNUMBER(K383),ISNUMBER(J383),N(K383)&gt;N(J383)),"⚠ Prix Autopiec &gt; prix public",IF(COUNTIFS($A$2:$A$1001,A383,$B$2:$B$1001,B383)&gt;1,"⚠ Référence en double","✔ OK"))))</f>
        <v/>
      </c>
    </row>
    <row r="384" customFormat="false" ht="15" hidden="false" customHeight="false" outlineLevel="0" collapsed="false">
      <c r="A384" s="11"/>
      <c r="B384" s="27"/>
      <c r="C384" s="11"/>
      <c r="D384" s="11"/>
      <c r="E384" s="11"/>
      <c r="F384" s="27"/>
      <c r="G384" s="27"/>
      <c r="H384" s="11"/>
      <c r="I384" s="11"/>
      <c r="J384" s="12"/>
      <c r="K384" s="12"/>
      <c r="L384" s="28" t="str">
        <f aca="false">IF(AND(ISNUMBER(J384),ISNUMBER(K384),N(J384)&gt;0),1-K384/J384,"")</f>
        <v/>
      </c>
      <c r="M384" s="29"/>
      <c r="N384" s="30"/>
      <c r="O384" s="30"/>
      <c r="P384" s="11"/>
      <c r="Q384" s="31"/>
      <c r="R384" s="11"/>
      <c r="S384" s="11"/>
      <c r="T384" s="11"/>
      <c r="U384" s="32" t="str">
        <f aca="false">IF((LEN(A384)+LEN(B384)+LEN(C384)+LEN(D384)+LEN(E384)+LEN(F384)+LEN(G384)+LEN(H384)+LEN(I384)+LEN(J384)+LEN(K384)+LEN(M384)+LEN(N384)+LEN(O384)+LEN(P384)+LEN(Q384)+LEN(R384)+LEN(S384)+LEN(T384))=0,"",IF(OR(A384="",B384="",C384="",D384="",E384="",J384="",K384="",N384=""),"⚠ Champ obligatoire manquant",IF(AND(ISNUMBER(K384),ISNUMBER(J384),N(K384)&gt;N(J384)),"⚠ Prix Autopiec &gt; prix public",IF(COUNTIFS($A$2:$A$1001,A384,$B$2:$B$1001,B384)&gt;1,"⚠ Référence en double","✔ OK"))))</f>
        <v/>
      </c>
    </row>
    <row r="385" customFormat="false" ht="15" hidden="false" customHeight="false" outlineLevel="0" collapsed="false">
      <c r="A385" s="11"/>
      <c r="B385" s="27"/>
      <c r="C385" s="11"/>
      <c r="D385" s="11"/>
      <c r="E385" s="11"/>
      <c r="F385" s="27"/>
      <c r="G385" s="27"/>
      <c r="H385" s="11"/>
      <c r="I385" s="11"/>
      <c r="J385" s="12"/>
      <c r="K385" s="12"/>
      <c r="L385" s="28" t="str">
        <f aca="false">IF(AND(ISNUMBER(J385),ISNUMBER(K385),N(J385)&gt;0),1-K385/J385,"")</f>
        <v/>
      </c>
      <c r="M385" s="29"/>
      <c r="N385" s="30"/>
      <c r="O385" s="30"/>
      <c r="P385" s="11"/>
      <c r="Q385" s="31"/>
      <c r="R385" s="11"/>
      <c r="S385" s="11"/>
      <c r="T385" s="11"/>
      <c r="U385" s="32" t="str">
        <f aca="false">IF((LEN(A385)+LEN(B385)+LEN(C385)+LEN(D385)+LEN(E385)+LEN(F385)+LEN(G385)+LEN(H385)+LEN(I385)+LEN(J385)+LEN(K385)+LEN(M385)+LEN(N385)+LEN(O385)+LEN(P385)+LEN(Q385)+LEN(R385)+LEN(S385)+LEN(T385))=0,"",IF(OR(A385="",B385="",C385="",D385="",E385="",J385="",K385="",N385=""),"⚠ Champ obligatoire manquant",IF(AND(ISNUMBER(K385),ISNUMBER(J385),N(K385)&gt;N(J385)),"⚠ Prix Autopiec &gt; prix public",IF(COUNTIFS($A$2:$A$1001,A385,$B$2:$B$1001,B385)&gt;1,"⚠ Référence en double","✔ OK"))))</f>
        <v/>
      </c>
    </row>
    <row r="386" customFormat="false" ht="15" hidden="false" customHeight="false" outlineLevel="0" collapsed="false">
      <c r="A386" s="11"/>
      <c r="B386" s="27"/>
      <c r="C386" s="11"/>
      <c r="D386" s="11"/>
      <c r="E386" s="11"/>
      <c r="F386" s="27"/>
      <c r="G386" s="27"/>
      <c r="H386" s="11"/>
      <c r="I386" s="11"/>
      <c r="J386" s="12"/>
      <c r="K386" s="12"/>
      <c r="L386" s="28" t="str">
        <f aca="false">IF(AND(ISNUMBER(J386),ISNUMBER(K386),N(J386)&gt;0),1-K386/J386,"")</f>
        <v/>
      </c>
      <c r="M386" s="29"/>
      <c r="N386" s="30"/>
      <c r="O386" s="30"/>
      <c r="P386" s="11"/>
      <c r="Q386" s="31"/>
      <c r="R386" s="11"/>
      <c r="S386" s="11"/>
      <c r="T386" s="11"/>
      <c r="U386" s="32" t="str">
        <f aca="false">IF((LEN(A386)+LEN(B386)+LEN(C386)+LEN(D386)+LEN(E386)+LEN(F386)+LEN(G386)+LEN(H386)+LEN(I386)+LEN(J386)+LEN(K386)+LEN(M386)+LEN(N386)+LEN(O386)+LEN(P386)+LEN(Q386)+LEN(R386)+LEN(S386)+LEN(T386))=0,"",IF(OR(A386="",B386="",C386="",D386="",E386="",J386="",K386="",N386=""),"⚠ Champ obligatoire manquant",IF(AND(ISNUMBER(K386),ISNUMBER(J386),N(K386)&gt;N(J386)),"⚠ Prix Autopiec &gt; prix public",IF(COUNTIFS($A$2:$A$1001,A386,$B$2:$B$1001,B386)&gt;1,"⚠ Référence en double","✔ OK"))))</f>
        <v/>
      </c>
    </row>
    <row r="387" customFormat="false" ht="15" hidden="false" customHeight="false" outlineLevel="0" collapsed="false">
      <c r="A387" s="11"/>
      <c r="B387" s="27"/>
      <c r="C387" s="11"/>
      <c r="D387" s="11"/>
      <c r="E387" s="11"/>
      <c r="F387" s="27"/>
      <c r="G387" s="27"/>
      <c r="H387" s="11"/>
      <c r="I387" s="11"/>
      <c r="J387" s="12"/>
      <c r="K387" s="12"/>
      <c r="L387" s="28" t="str">
        <f aca="false">IF(AND(ISNUMBER(J387),ISNUMBER(K387),N(J387)&gt;0),1-K387/J387,"")</f>
        <v/>
      </c>
      <c r="M387" s="29"/>
      <c r="N387" s="30"/>
      <c r="O387" s="30"/>
      <c r="P387" s="11"/>
      <c r="Q387" s="31"/>
      <c r="R387" s="11"/>
      <c r="S387" s="11"/>
      <c r="T387" s="11"/>
      <c r="U387" s="32" t="str">
        <f aca="false">IF((LEN(A387)+LEN(B387)+LEN(C387)+LEN(D387)+LEN(E387)+LEN(F387)+LEN(G387)+LEN(H387)+LEN(I387)+LEN(J387)+LEN(K387)+LEN(M387)+LEN(N387)+LEN(O387)+LEN(P387)+LEN(Q387)+LEN(R387)+LEN(S387)+LEN(T387))=0,"",IF(OR(A387="",B387="",C387="",D387="",E387="",J387="",K387="",N387=""),"⚠ Champ obligatoire manquant",IF(AND(ISNUMBER(K387),ISNUMBER(J387),N(K387)&gt;N(J387)),"⚠ Prix Autopiec &gt; prix public",IF(COUNTIFS($A$2:$A$1001,A387,$B$2:$B$1001,B387)&gt;1,"⚠ Référence en double","✔ OK"))))</f>
        <v/>
      </c>
    </row>
    <row r="388" customFormat="false" ht="15" hidden="false" customHeight="false" outlineLevel="0" collapsed="false">
      <c r="A388" s="11"/>
      <c r="B388" s="27"/>
      <c r="C388" s="11"/>
      <c r="D388" s="11"/>
      <c r="E388" s="11"/>
      <c r="F388" s="27"/>
      <c r="G388" s="27"/>
      <c r="H388" s="11"/>
      <c r="I388" s="11"/>
      <c r="J388" s="12"/>
      <c r="K388" s="12"/>
      <c r="L388" s="28" t="str">
        <f aca="false">IF(AND(ISNUMBER(J388),ISNUMBER(K388),N(J388)&gt;0),1-K388/J388,"")</f>
        <v/>
      </c>
      <c r="M388" s="29"/>
      <c r="N388" s="30"/>
      <c r="O388" s="30"/>
      <c r="P388" s="11"/>
      <c r="Q388" s="31"/>
      <c r="R388" s="11"/>
      <c r="S388" s="11"/>
      <c r="T388" s="11"/>
      <c r="U388" s="32" t="str">
        <f aca="false">IF((LEN(A388)+LEN(B388)+LEN(C388)+LEN(D388)+LEN(E388)+LEN(F388)+LEN(G388)+LEN(H388)+LEN(I388)+LEN(J388)+LEN(K388)+LEN(M388)+LEN(N388)+LEN(O388)+LEN(P388)+LEN(Q388)+LEN(R388)+LEN(S388)+LEN(T388))=0,"",IF(OR(A388="",B388="",C388="",D388="",E388="",J388="",K388="",N388=""),"⚠ Champ obligatoire manquant",IF(AND(ISNUMBER(K388),ISNUMBER(J388),N(K388)&gt;N(J388)),"⚠ Prix Autopiec &gt; prix public",IF(COUNTIFS($A$2:$A$1001,A388,$B$2:$B$1001,B388)&gt;1,"⚠ Référence en double","✔ OK"))))</f>
        <v/>
      </c>
    </row>
    <row r="389" customFormat="false" ht="15" hidden="false" customHeight="false" outlineLevel="0" collapsed="false">
      <c r="A389" s="11"/>
      <c r="B389" s="27"/>
      <c r="C389" s="11"/>
      <c r="D389" s="11"/>
      <c r="E389" s="11"/>
      <c r="F389" s="27"/>
      <c r="G389" s="27"/>
      <c r="H389" s="11"/>
      <c r="I389" s="11"/>
      <c r="J389" s="12"/>
      <c r="K389" s="12"/>
      <c r="L389" s="28" t="str">
        <f aca="false">IF(AND(ISNUMBER(J389),ISNUMBER(K389),N(J389)&gt;0),1-K389/J389,"")</f>
        <v/>
      </c>
      <c r="M389" s="29"/>
      <c r="N389" s="30"/>
      <c r="O389" s="30"/>
      <c r="P389" s="11"/>
      <c r="Q389" s="31"/>
      <c r="R389" s="11"/>
      <c r="S389" s="11"/>
      <c r="T389" s="11"/>
      <c r="U389" s="32" t="str">
        <f aca="false">IF((LEN(A389)+LEN(B389)+LEN(C389)+LEN(D389)+LEN(E389)+LEN(F389)+LEN(G389)+LEN(H389)+LEN(I389)+LEN(J389)+LEN(K389)+LEN(M389)+LEN(N389)+LEN(O389)+LEN(P389)+LEN(Q389)+LEN(R389)+LEN(S389)+LEN(T389))=0,"",IF(OR(A389="",B389="",C389="",D389="",E389="",J389="",K389="",N389=""),"⚠ Champ obligatoire manquant",IF(AND(ISNUMBER(K389),ISNUMBER(J389),N(K389)&gt;N(J389)),"⚠ Prix Autopiec &gt; prix public",IF(COUNTIFS($A$2:$A$1001,A389,$B$2:$B$1001,B389)&gt;1,"⚠ Référence en double","✔ OK"))))</f>
        <v/>
      </c>
    </row>
    <row r="390" customFormat="false" ht="15" hidden="false" customHeight="false" outlineLevel="0" collapsed="false">
      <c r="A390" s="11"/>
      <c r="B390" s="27"/>
      <c r="C390" s="11"/>
      <c r="D390" s="11"/>
      <c r="E390" s="11"/>
      <c r="F390" s="27"/>
      <c r="G390" s="27"/>
      <c r="H390" s="11"/>
      <c r="I390" s="11"/>
      <c r="J390" s="12"/>
      <c r="K390" s="12"/>
      <c r="L390" s="28" t="str">
        <f aca="false">IF(AND(ISNUMBER(J390),ISNUMBER(K390),N(J390)&gt;0),1-K390/J390,"")</f>
        <v/>
      </c>
      <c r="M390" s="29"/>
      <c r="N390" s="30"/>
      <c r="O390" s="30"/>
      <c r="P390" s="11"/>
      <c r="Q390" s="31"/>
      <c r="R390" s="11"/>
      <c r="S390" s="11"/>
      <c r="T390" s="11"/>
      <c r="U390" s="32" t="str">
        <f aca="false">IF((LEN(A390)+LEN(B390)+LEN(C390)+LEN(D390)+LEN(E390)+LEN(F390)+LEN(G390)+LEN(H390)+LEN(I390)+LEN(J390)+LEN(K390)+LEN(M390)+LEN(N390)+LEN(O390)+LEN(P390)+LEN(Q390)+LEN(R390)+LEN(S390)+LEN(T390))=0,"",IF(OR(A390="",B390="",C390="",D390="",E390="",J390="",K390="",N390=""),"⚠ Champ obligatoire manquant",IF(AND(ISNUMBER(K390),ISNUMBER(J390),N(K390)&gt;N(J390)),"⚠ Prix Autopiec &gt; prix public",IF(COUNTIFS($A$2:$A$1001,A390,$B$2:$B$1001,B390)&gt;1,"⚠ Référence en double","✔ OK"))))</f>
        <v/>
      </c>
    </row>
    <row r="391" customFormat="false" ht="15" hidden="false" customHeight="false" outlineLevel="0" collapsed="false">
      <c r="A391" s="11"/>
      <c r="B391" s="27"/>
      <c r="C391" s="11"/>
      <c r="D391" s="11"/>
      <c r="E391" s="11"/>
      <c r="F391" s="27"/>
      <c r="G391" s="27"/>
      <c r="H391" s="11"/>
      <c r="I391" s="11"/>
      <c r="J391" s="12"/>
      <c r="K391" s="12"/>
      <c r="L391" s="28" t="str">
        <f aca="false">IF(AND(ISNUMBER(J391),ISNUMBER(K391),N(J391)&gt;0),1-K391/J391,"")</f>
        <v/>
      </c>
      <c r="M391" s="29"/>
      <c r="N391" s="30"/>
      <c r="O391" s="30"/>
      <c r="P391" s="11"/>
      <c r="Q391" s="31"/>
      <c r="R391" s="11"/>
      <c r="S391" s="11"/>
      <c r="T391" s="11"/>
      <c r="U391" s="32" t="str">
        <f aca="false">IF((LEN(A391)+LEN(B391)+LEN(C391)+LEN(D391)+LEN(E391)+LEN(F391)+LEN(G391)+LEN(H391)+LEN(I391)+LEN(J391)+LEN(K391)+LEN(M391)+LEN(N391)+LEN(O391)+LEN(P391)+LEN(Q391)+LEN(R391)+LEN(S391)+LEN(T391))=0,"",IF(OR(A391="",B391="",C391="",D391="",E391="",J391="",K391="",N391=""),"⚠ Champ obligatoire manquant",IF(AND(ISNUMBER(K391),ISNUMBER(J391),N(K391)&gt;N(J391)),"⚠ Prix Autopiec &gt; prix public",IF(COUNTIFS($A$2:$A$1001,A391,$B$2:$B$1001,B391)&gt;1,"⚠ Référence en double","✔ OK"))))</f>
        <v/>
      </c>
    </row>
    <row r="392" customFormat="false" ht="15" hidden="false" customHeight="false" outlineLevel="0" collapsed="false">
      <c r="A392" s="11"/>
      <c r="B392" s="27"/>
      <c r="C392" s="11"/>
      <c r="D392" s="11"/>
      <c r="E392" s="11"/>
      <c r="F392" s="27"/>
      <c r="G392" s="27"/>
      <c r="H392" s="11"/>
      <c r="I392" s="11"/>
      <c r="J392" s="12"/>
      <c r="K392" s="12"/>
      <c r="L392" s="28" t="str">
        <f aca="false">IF(AND(ISNUMBER(J392),ISNUMBER(K392),N(J392)&gt;0),1-K392/J392,"")</f>
        <v/>
      </c>
      <c r="M392" s="29"/>
      <c r="N392" s="30"/>
      <c r="O392" s="30"/>
      <c r="P392" s="11"/>
      <c r="Q392" s="31"/>
      <c r="R392" s="11"/>
      <c r="S392" s="11"/>
      <c r="T392" s="11"/>
      <c r="U392" s="32" t="str">
        <f aca="false">IF((LEN(A392)+LEN(B392)+LEN(C392)+LEN(D392)+LEN(E392)+LEN(F392)+LEN(G392)+LEN(H392)+LEN(I392)+LEN(J392)+LEN(K392)+LEN(M392)+LEN(N392)+LEN(O392)+LEN(P392)+LEN(Q392)+LEN(R392)+LEN(S392)+LEN(T392))=0,"",IF(OR(A392="",B392="",C392="",D392="",E392="",J392="",K392="",N392=""),"⚠ Champ obligatoire manquant",IF(AND(ISNUMBER(K392),ISNUMBER(J392),N(K392)&gt;N(J392)),"⚠ Prix Autopiec &gt; prix public",IF(COUNTIFS($A$2:$A$1001,A392,$B$2:$B$1001,B392)&gt;1,"⚠ Référence en double","✔ OK"))))</f>
        <v/>
      </c>
    </row>
    <row r="393" customFormat="false" ht="15" hidden="false" customHeight="false" outlineLevel="0" collapsed="false">
      <c r="A393" s="11"/>
      <c r="B393" s="27"/>
      <c r="C393" s="11"/>
      <c r="D393" s="11"/>
      <c r="E393" s="11"/>
      <c r="F393" s="27"/>
      <c r="G393" s="27"/>
      <c r="H393" s="11"/>
      <c r="I393" s="11"/>
      <c r="J393" s="12"/>
      <c r="K393" s="12"/>
      <c r="L393" s="28" t="str">
        <f aca="false">IF(AND(ISNUMBER(J393),ISNUMBER(K393),N(J393)&gt;0),1-K393/J393,"")</f>
        <v/>
      </c>
      <c r="M393" s="29"/>
      <c r="N393" s="30"/>
      <c r="O393" s="30"/>
      <c r="P393" s="11"/>
      <c r="Q393" s="31"/>
      <c r="R393" s="11"/>
      <c r="S393" s="11"/>
      <c r="T393" s="11"/>
      <c r="U393" s="32" t="str">
        <f aca="false">IF((LEN(A393)+LEN(B393)+LEN(C393)+LEN(D393)+LEN(E393)+LEN(F393)+LEN(G393)+LEN(H393)+LEN(I393)+LEN(J393)+LEN(K393)+LEN(M393)+LEN(N393)+LEN(O393)+LEN(P393)+LEN(Q393)+LEN(R393)+LEN(S393)+LEN(T393))=0,"",IF(OR(A393="",B393="",C393="",D393="",E393="",J393="",K393="",N393=""),"⚠ Champ obligatoire manquant",IF(AND(ISNUMBER(K393),ISNUMBER(J393),N(K393)&gt;N(J393)),"⚠ Prix Autopiec &gt; prix public",IF(COUNTIFS($A$2:$A$1001,A393,$B$2:$B$1001,B393)&gt;1,"⚠ Référence en double","✔ OK"))))</f>
        <v/>
      </c>
    </row>
    <row r="394" customFormat="false" ht="15" hidden="false" customHeight="false" outlineLevel="0" collapsed="false">
      <c r="A394" s="11"/>
      <c r="B394" s="27"/>
      <c r="C394" s="11"/>
      <c r="D394" s="11"/>
      <c r="E394" s="11"/>
      <c r="F394" s="27"/>
      <c r="G394" s="27"/>
      <c r="H394" s="11"/>
      <c r="I394" s="11"/>
      <c r="J394" s="12"/>
      <c r="K394" s="12"/>
      <c r="L394" s="28" t="str">
        <f aca="false">IF(AND(ISNUMBER(J394),ISNUMBER(K394),N(J394)&gt;0),1-K394/J394,"")</f>
        <v/>
      </c>
      <c r="M394" s="29"/>
      <c r="N394" s="30"/>
      <c r="O394" s="30"/>
      <c r="P394" s="11"/>
      <c r="Q394" s="31"/>
      <c r="R394" s="11"/>
      <c r="S394" s="11"/>
      <c r="T394" s="11"/>
      <c r="U394" s="32" t="str">
        <f aca="false">IF((LEN(A394)+LEN(B394)+LEN(C394)+LEN(D394)+LEN(E394)+LEN(F394)+LEN(G394)+LEN(H394)+LEN(I394)+LEN(J394)+LEN(K394)+LEN(M394)+LEN(N394)+LEN(O394)+LEN(P394)+LEN(Q394)+LEN(R394)+LEN(S394)+LEN(T394))=0,"",IF(OR(A394="",B394="",C394="",D394="",E394="",J394="",K394="",N394=""),"⚠ Champ obligatoire manquant",IF(AND(ISNUMBER(K394),ISNUMBER(J394),N(K394)&gt;N(J394)),"⚠ Prix Autopiec &gt; prix public",IF(COUNTIFS($A$2:$A$1001,A394,$B$2:$B$1001,B394)&gt;1,"⚠ Référence en double","✔ OK"))))</f>
        <v/>
      </c>
    </row>
    <row r="395" customFormat="false" ht="15" hidden="false" customHeight="false" outlineLevel="0" collapsed="false">
      <c r="A395" s="11"/>
      <c r="B395" s="27"/>
      <c r="C395" s="11"/>
      <c r="D395" s="11"/>
      <c r="E395" s="11"/>
      <c r="F395" s="27"/>
      <c r="G395" s="27"/>
      <c r="H395" s="11"/>
      <c r="I395" s="11"/>
      <c r="J395" s="12"/>
      <c r="K395" s="12"/>
      <c r="L395" s="28" t="str">
        <f aca="false">IF(AND(ISNUMBER(J395),ISNUMBER(K395),N(J395)&gt;0),1-K395/J395,"")</f>
        <v/>
      </c>
      <c r="M395" s="29"/>
      <c r="N395" s="30"/>
      <c r="O395" s="30"/>
      <c r="P395" s="11"/>
      <c r="Q395" s="31"/>
      <c r="R395" s="11"/>
      <c r="S395" s="11"/>
      <c r="T395" s="11"/>
      <c r="U395" s="32" t="str">
        <f aca="false">IF((LEN(A395)+LEN(B395)+LEN(C395)+LEN(D395)+LEN(E395)+LEN(F395)+LEN(G395)+LEN(H395)+LEN(I395)+LEN(J395)+LEN(K395)+LEN(M395)+LEN(N395)+LEN(O395)+LEN(P395)+LEN(Q395)+LEN(R395)+LEN(S395)+LEN(T395))=0,"",IF(OR(A395="",B395="",C395="",D395="",E395="",J395="",K395="",N395=""),"⚠ Champ obligatoire manquant",IF(AND(ISNUMBER(K395),ISNUMBER(J395),N(K395)&gt;N(J395)),"⚠ Prix Autopiec &gt; prix public",IF(COUNTIFS($A$2:$A$1001,A395,$B$2:$B$1001,B395)&gt;1,"⚠ Référence en double","✔ OK"))))</f>
        <v/>
      </c>
    </row>
    <row r="396" customFormat="false" ht="15" hidden="false" customHeight="false" outlineLevel="0" collapsed="false">
      <c r="A396" s="11"/>
      <c r="B396" s="27"/>
      <c r="C396" s="11"/>
      <c r="D396" s="11"/>
      <c r="E396" s="11"/>
      <c r="F396" s="27"/>
      <c r="G396" s="27"/>
      <c r="H396" s="11"/>
      <c r="I396" s="11"/>
      <c r="J396" s="12"/>
      <c r="K396" s="12"/>
      <c r="L396" s="28" t="str">
        <f aca="false">IF(AND(ISNUMBER(J396),ISNUMBER(K396),N(J396)&gt;0),1-K396/J396,"")</f>
        <v/>
      </c>
      <c r="M396" s="29"/>
      <c r="N396" s="30"/>
      <c r="O396" s="30"/>
      <c r="P396" s="11"/>
      <c r="Q396" s="31"/>
      <c r="R396" s="11"/>
      <c r="S396" s="11"/>
      <c r="T396" s="11"/>
      <c r="U396" s="32" t="str">
        <f aca="false">IF((LEN(A396)+LEN(B396)+LEN(C396)+LEN(D396)+LEN(E396)+LEN(F396)+LEN(G396)+LEN(H396)+LEN(I396)+LEN(J396)+LEN(K396)+LEN(M396)+LEN(N396)+LEN(O396)+LEN(P396)+LEN(Q396)+LEN(R396)+LEN(S396)+LEN(T396))=0,"",IF(OR(A396="",B396="",C396="",D396="",E396="",J396="",K396="",N396=""),"⚠ Champ obligatoire manquant",IF(AND(ISNUMBER(K396),ISNUMBER(J396),N(K396)&gt;N(J396)),"⚠ Prix Autopiec &gt; prix public",IF(COUNTIFS($A$2:$A$1001,A396,$B$2:$B$1001,B396)&gt;1,"⚠ Référence en double","✔ OK"))))</f>
        <v/>
      </c>
    </row>
    <row r="397" customFormat="false" ht="15" hidden="false" customHeight="false" outlineLevel="0" collapsed="false">
      <c r="A397" s="11"/>
      <c r="B397" s="27"/>
      <c r="C397" s="11"/>
      <c r="D397" s="11"/>
      <c r="E397" s="11"/>
      <c r="F397" s="27"/>
      <c r="G397" s="27"/>
      <c r="H397" s="11"/>
      <c r="I397" s="11"/>
      <c r="J397" s="12"/>
      <c r="K397" s="12"/>
      <c r="L397" s="28" t="str">
        <f aca="false">IF(AND(ISNUMBER(J397),ISNUMBER(K397),N(J397)&gt;0),1-K397/J397,"")</f>
        <v/>
      </c>
      <c r="M397" s="29"/>
      <c r="N397" s="30"/>
      <c r="O397" s="30"/>
      <c r="P397" s="11"/>
      <c r="Q397" s="31"/>
      <c r="R397" s="11"/>
      <c r="S397" s="11"/>
      <c r="T397" s="11"/>
      <c r="U397" s="32" t="str">
        <f aca="false">IF((LEN(A397)+LEN(B397)+LEN(C397)+LEN(D397)+LEN(E397)+LEN(F397)+LEN(G397)+LEN(H397)+LEN(I397)+LEN(J397)+LEN(K397)+LEN(M397)+LEN(N397)+LEN(O397)+LEN(P397)+LEN(Q397)+LEN(R397)+LEN(S397)+LEN(T397))=0,"",IF(OR(A397="",B397="",C397="",D397="",E397="",J397="",K397="",N397=""),"⚠ Champ obligatoire manquant",IF(AND(ISNUMBER(K397),ISNUMBER(J397),N(K397)&gt;N(J397)),"⚠ Prix Autopiec &gt; prix public",IF(COUNTIFS($A$2:$A$1001,A397,$B$2:$B$1001,B397)&gt;1,"⚠ Référence en double","✔ OK"))))</f>
        <v/>
      </c>
    </row>
    <row r="398" customFormat="false" ht="15" hidden="false" customHeight="false" outlineLevel="0" collapsed="false">
      <c r="A398" s="11"/>
      <c r="B398" s="27"/>
      <c r="C398" s="11"/>
      <c r="D398" s="11"/>
      <c r="E398" s="11"/>
      <c r="F398" s="27"/>
      <c r="G398" s="27"/>
      <c r="H398" s="11"/>
      <c r="I398" s="11"/>
      <c r="J398" s="12"/>
      <c r="K398" s="12"/>
      <c r="L398" s="28" t="str">
        <f aca="false">IF(AND(ISNUMBER(J398),ISNUMBER(K398),N(J398)&gt;0),1-K398/J398,"")</f>
        <v/>
      </c>
      <c r="M398" s="29"/>
      <c r="N398" s="30"/>
      <c r="O398" s="30"/>
      <c r="P398" s="11"/>
      <c r="Q398" s="31"/>
      <c r="R398" s="11"/>
      <c r="S398" s="11"/>
      <c r="T398" s="11"/>
      <c r="U398" s="32" t="str">
        <f aca="false">IF((LEN(A398)+LEN(B398)+LEN(C398)+LEN(D398)+LEN(E398)+LEN(F398)+LEN(G398)+LEN(H398)+LEN(I398)+LEN(J398)+LEN(K398)+LEN(M398)+LEN(N398)+LEN(O398)+LEN(P398)+LEN(Q398)+LEN(R398)+LEN(S398)+LEN(T398))=0,"",IF(OR(A398="",B398="",C398="",D398="",E398="",J398="",K398="",N398=""),"⚠ Champ obligatoire manquant",IF(AND(ISNUMBER(K398),ISNUMBER(J398),N(K398)&gt;N(J398)),"⚠ Prix Autopiec &gt; prix public",IF(COUNTIFS($A$2:$A$1001,A398,$B$2:$B$1001,B398)&gt;1,"⚠ Référence en double","✔ OK"))))</f>
        <v/>
      </c>
    </row>
    <row r="399" customFormat="false" ht="15" hidden="false" customHeight="false" outlineLevel="0" collapsed="false">
      <c r="A399" s="11"/>
      <c r="B399" s="27"/>
      <c r="C399" s="11"/>
      <c r="D399" s="11"/>
      <c r="E399" s="11"/>
      <c r="F399" s="27"/>
      <c r="G399" s="27"/>
      <c r="H399" s="11"/>
      <c r="I399" s="11"/>
      <c r="J399" s="12"/>
      <c r="K399" s="12"/>
      <c r="L399" s="28" t="str">
        <f aca="false">IF(AND(ISNUMBER(J399),ISNUMBER(K399),N(J399)&gt;0),1-K399/J399,"")</f>
        <v/>
      </c>
      <c r="M399" s="29"/>
      <c r="N399" s="30"/>
      <c r="O399" s="30"/>
      <c r="P399" s="11"/>
      <c r="Q399" s="31"/>
      <c r="R399" s="11"/>
      <c r="S399" s="11"/>
      <c r="T399" s="11"/>
      <c r="U399" s="32" t="str">
        <f aca="false">IF((LEN(A399)+LEN(B399)+LEN(C399)+LEN(D399)+LEN(E399)+LEN(F399)+LEN(G399)+LEN(H399)+LEN(I399)+LEN(J399)+LEN(K399)+LEN(M399)+LEN(N399)+LEN(O399)+LEN(P399)+LEN(Q399)+LEN(R399)+LEN(S399)+LEN(T399))=0,"",IF(OR(A399="",B399="",C399="",D399="",E399="",J399="",K399="",N399=""),"⚠ Champ obligatoire manquant",IF(AND(ISNUMBER(K399),ISNUMBER(J399),N(K399)&gt;N(J399)),"⚠ Prix Autopiec &gt; prix public",IF(COUNTIFS($A$2:$A$1001,A399,$B$2:$B$1001,B399)&gt;1,"⚠ Référence en double","✔ OK"))))</f>
        <v/>
      </c>
    </row>
    <row r="400" customFormat="false" ht="15" hidden="false" customHeight="false" outlineLevel="0" collapsed="false">
      <c r="A400" s="11"/>
      <c r="B400" s="27"/>
      <c r="C400" s="11"/>
      <c r="D400" s="11"/>
      <c r="E400" s="11"/>
      <c r="F400" s="27"/>
      <c r="G400" s="27"/>
      <c r="H400" s="11"/>
      <c r="I400" s="11"/>
      <c r="J400" s="12"/>
      <c r="K400" s="12"/>
      <c r="L400" s="28" t="str">
        <f aca="false">IF(AND(ISNUMBER(J400),ISNUMBER(K400),N(J400)&gt;0),1-K400/J400,"")</f>
        <v/>
      </c>
      <c r="M400" s="29"/>
      <c r="N400" s="30"/>
      <c r="O400" s="30"/>
      <c r="P400" s="11"/>
      <c r="Q400" s="31"/>
      <c r="R400" s="11"/>
      <c r="S400" s="11"/>
      <c r="T400" s="11"/>
      <c r="U400" s="32" t="str">
        <f aca="false">IF((LEN(A400)+LEN(B400)+LEN(C400)+LEN(D400)+LEN(E400)+LEN(F400)+LEN(G400)+LEN(H400)+LEN(I400)+LEN(J400)+LEN(K400)+LEN(M400)+LEN(N400)+LEN(O400)+LEN(P400)+LEN(Q400)+LEN(R400)+LEN(S400)+LEN(T400))=0,"",IF(OR(A400="",B400="",C400="",D400="",E400="",J400="",K400="",N400=""),"⚠ Champ obligatoire manquant",IF(AND(ISNUMBER(K400),ISNUMBER(J400),N(K400)&gt;N(J400)),"⚠ Prix Autopiec &gt; prix public",IF(COUNTIFS($A$2:$A$1001,A400,$B$2:$B$1001,B400)&gt;1,"⚠ Référence en double","✔ OK"))))</f>
        <v/>
      </c>
    </row>
    <row r="401" customFormat="false" ht="15" hidden="false" customHeight="false" outlineLevel="0" collapsed="false">
      <c r="A401" s="11"/>
      <c r="B401" s="27"/>
      <c r="C401" s="11"/>
      <c r="D401" s="11"/>
      <c r="E401" s="11"/>
      <c r="F401" s="27"/>
      <c r="G401" s="27"/>
      <c r="H401" s="11"/>
      <c r="I401" s="11"/>
      <c r="J401" s="12"/>
      <c r="K401" s="12"/>
      <c r="L401" s="28" t="str">
        <f aca="false">IF(AND(ISNUMBER(J401),ISNUMBER(K401),N(J401)&gt;0),1-K401/J401,"")</f>
        <v/>
      </c>
      <c r="M401" s="29"/>
      <c r="N401" s="30"/>
      <c r="O401" s="30"/>
      <c r="P401" s="11"/>
      <c r="Q401" s="31"/>
      <c r="R401" s="11"/>
      <c r="S401" s="11"/>
      <c r="T401" s="11"/>
      <c r="U401" s="32" t="str">
        <f aca="false">IF((LEN(A401)+LEN(B401)+LEN(C401)+LEN(D401)+LEN(E401)+LEN(F401)+LEN(G401)+LEN(H401)+LEN(I401)+LEN(J401)+LEN(K401)+LEN(M401)+LEN(N401)+LEN(O401)+LEN(P401)+LEN(Q401)+LEN(R401)+LEN(S401)+LEN(T401))=0,"",IF(OR(A401="",B401="",C401="",D401="",E401="",J401="",K401="",N401=""),"⚠ Champ obligatoire manquant",IF(AND(ISNUMBER(K401),ISNUMBER(J401),N(K401)&gt;N(J401)),"⚠ Prix Autopiec &gt; prix public",IF(COUNTIFS($A$2:$A$1001,A401,$B$2:$B$1001,B401)&gt;1,"⚠ Référence en double","✔ OK"))))</f>
        <v/>
      </c>
    </row>
    <row r="402" customFormat="false" ht="15" hidden="false" customHeight="false" outlineLevel="0" collapsed="false">
      <c r="A402" s="11"/>
      <c r="B402" s="27"/>
      <c r="C402" s="11"/>
      <c r="D402" s="11"/>
      <c r="E402" s="11"/>
      <c r="F402" s="27"/>
      <c r="G402" s="27"/>
      <c r="H402" s="11"/>
      <c r="I402" s="11"/>
      <c r="J402" s="12"/>
      <c r="K402" s="12"/>
      <c r="L402" s="28" t="str">
        <f aca="false">IF(AND(ISNUMBER(J402),ISNUMBER(K402),N(J402)&gt;0),1-K402/J402,"")</f>
        <v/>
      </c>
      <c r="M402" s="29"/>
      <c r="N402" s="30"/>
      <c r="O402" s="30"/>
      <c r="P402" s="11"/>
      <c r="Q402" s="31"/>
      <c r="R402" s="11"/>
      <c r="S402" s="11"/>
      <c r="T402" s="11"/>
      <c r="U402" s="32" t="str">
        <f aca="false">IF((LEN(A402)+LEN(B402)+LEN(C402)+LEN(D402)+LEN(E402)+LEN(F402)+LEN(G402)+LEN(H402)+LEN(I402)+LEN(J402)+LEN(K402)+LEN(M402)+LEN(N402)+LEN(O402)+LEN(P402)+LEN(Q402)+LEN(R402)+LEN(S402)+LEN(T402))=0,"",IF(OR(A402="",B402="",C402="",D402="",E402="",J402="",K402="",N402=""),"⚠ Champ obligatoire manquant",IF(AND(ISNUMBER(K402),ISNUMBER(J402),N(K402)&gt;N(J402)),"⚠ Prix Autopiec &gt; prix public",IF(COUNTIFS($A$2:$A$1001,A402,$B$2:$B$1001,B402)&gt;1,"⚠ Référence en double","✔ OK"))))</f>
        <v/>
      </c>
    </row>
    <row r="403" customFormat="false" ht="15" hidden="false" customHeight="false" outlineLevel="0" collapsed="false">
      <c r="A403" s="11"/>
      <c r="B403" s="27"/>
      <c r="C403" s="11"/>
      <c r="D403" s="11"/>
      <c r="E403" s="11"/>
      <c r="F403" s="27"/>
      <c r="G403" s="27"/>
      <c r="H403" s="11"/>
      <c r="I403" s="11"/>
      <c r="J403" s="12"/>
      <c r="K403" s="12"/>
      <c r="L403" s="28" t="str">
        <f aca="false">IF(AND(ISNUMBER(J403),ISNUMBER(K403),N(J403)&gt;0),1-K403/J403,"")</f>
        <v/>
      </c>
      <c r="M403" s="29"/>
      <c r="N403" s="30"/>
      <c r="O403" s="30"/>
      <c r="P403" s="11"/>
      <c r="Q403" s="31"/>
      <c r="R403" s="11"/>
      <c r="S403" s="11"/>
      <c r="T403" s="11"/>
      <c r="U403" s="32" t="str">
        <f aca="false">IF((LEN(A403)+LEN(B403)+LEN(C403)+LEN(D403)+LEN(E403)+LEN(F403)+LEN(G403)+LEN(H403)+LEN(I403)+LEN(J403)+LEN(K403)+LEN(M403)+LEN(N403)+LEN(O403)+LEN(P403)+LEN(Q403)+LEN(R403)+LEN(S403)+LEN(T403))=0,"",IF(OR(A403="",B403="",C403="",D403="",E403="",J403="",K403="",N403=""),"⚠ Champ obligatoire manquant",IF(AND(ISNUMBER(K403),ISNUMBER(J403),N(K403)&gt;N(J403)),"⚠ Prix Autopiec &gt; prix public",IF(COUNTIFS($A$2:$A$1001,A403,$B$2:$B$1001,B403)&gt;1,"⚠ Référence en double","✔ OK"))))</f>
        <v/>
      </c>
    </row>
    <row r="404" customFormat="false" ht="15" hidden="false" customHeight="false" outlineLevel="0" collapsed="false">
      <c r="A404" s="11"/>
      <c r="B404" s="27"/>
      <c r="C404" s="11"/>
      <c r="D404" s="11"/>
      <c r="E404" s="11"/>
      <c r="F404" s="27"/>
      <c r="G404" s="27"/>
      <c r="H404" s="11"/>
      <c r="I404" s="11"/>
      <c r="J404" s="12"/>
      <c r="K404" s="12"/>
      <c r="L404" s="28" t="str">
        <f aca="false">IF(AND(ISNUMBER(J404),ISNUMBER(K404),N(J404)&gt;0),1-K404/J404,"")</f>
        <v/>
      </c>
      <c r="M404" s="29"/>
      <c r="N404" s="30"/>
      <c r="O404" s="30"/>
      <c r="P404" s="11"/>
      <c r="Q404" s="31"/>
      <c r="R404" s="11"/>
      <c r="S404" s="11"/>
      <c r="T404" s="11"/>
      <c r="U404" s="32" t="str">
        <f aca="false">IF((LEN(A404)+LEN(B404)+LEN(C404)+LEN(D404)+LEN(E404)+LEN(F404)+LEN(G404)+LEN(H404)+LEN(I404)+LEN(J404)+LEN(K404)+LEN(M404)+LEN(N404)+LEN(O404)+LEN(P404)+LEN(Q404)+LEN(R404)+LEN(S404)+LEN(T404))=0,"",IF(OR(A404="",B404="",C404="",D404="",E404="",J404="",K404="",N404=""),"⚠ Champ obligatoire manquant",IF(AND(ISNUMBER(K404),ISNUMBER(J404),N(K404)&gt;N(J404)),"⚠ Prix Autopiec &gt; prix public",IF(COUNTIFS($A$2:$A$1001,A404,$B$2:$B$1001,B404)&gt;1,"⚠ Référence en double","✔ OK"))))</f>
        <v/>
      </c>
    </row>
    <row r="405" customFormat="false" ht="15" hidden="false" customHeight="false" outlineLevel="0" collapsed="false">
      <c r="A405" s="11"/>
      <c r="B405" s="27"/>
      <c r="C405" s="11"/>
      <c r="D405" s="11"/>
      <c r="E405" s="11"/>
      <c r="F405" s="27"/>
      <c r="G405" s="27"/>
      <c r="H405" s="11"/>
      <c r="I405" s="11"/>
      <c r="J405" s="12"/>
      <c r="K405" s="12"/>
      <c r="L405" s="28" t="str">
        <f aca="false">IF(AND(ISNUMBER(J405),ISNUMBER(K405),N(J405)&gt;0),1-K405/J405,"")</f>
        <v/>
      </c>
      <c r="M405" s="29"/>
      <c r="N405" s="30"/>
      <c r="O405" s="30"/>
      <c r="P405" s="11"/>
      <c r="Q405" s="31"/>
      <c r="R405" s="11"/>
      <c r="S405" s="11"/>
      <c r="T405" s="11"/>
      <c r="U405" s="32" t="str">
        <f aca="false">IF((LEN(A405)+LEN(B405)+LEN(C405)+LEN(D405)+LEN(E405)+LEN(F405)+LEN(G405)+LEN(H405)+LEN(I405)+LEN(J405)+LEN(K405)+LEN(M405)+LEN(N405)+LEN(O405)+LEN(P405)+LEN(Q405)+LEN(R405)+LEN(S405)+LEN(T405))=0,"",IF(OR(A405="",B405="",C405="",D405="",E405="",J405="",K405="",N405=""),"⚠ Champ obligatoire manquant",IF(AND(ISNUMBER(K405),ISNUMBER(J405),N(K405)&gt;N(J405)),"⚠ Prix Autopiec &gt; prix public",IF(COUNTIFS($A$2:$A$1001,A405,$B$2:$B$1001,B405)&gt;1,"⚠ Référence en double","✔ OK"))))</f>
        <v/>
      </c>
    </row>
    <row r="406" customFormat="false" ht="15" hidden="false" customHeight="false" outlineLevel="0" collapsed="false">
      <c r="A406" s="11"/>
      <c r="B406" s="27"/>
      <c r="C406" s="11"/>
      <c r="D406" s="11"/>
      <c r="E406" s="11"/>
      <c r="F406" s="27"/>
      <c r="G406" s="27"/>
      <c r="H406" s="11"/>
      <c r="I406" s="11"/>
      <c r="J406" s="12"/>
      <c r="K406" s="12"/>
      <c r="L406" s="28" t="str">
        <f aca="false">IF(AND(ISNUMBER(J406),ISNUMBER(K406),N(J406)&gt;0),1-K406/J406,"")</f>
        <v/>
      </c>
      <c r="M406" s="29"/>
      <c r="N406" s="30"/>
      <c r="O406" s="30"/>
      <c r="P406" s="11"/>
      <c r="Q406" s="31"/>
      <c r="R406" s="11"/>
      <c r="S406" s="11"/>
      <c r="T406" s="11"/>
      <c r="U406" s="32" t="str">
        <f aca="false">IF((LEN(A406)+LEN(B406)+LEN(C406)+LEN(D406)+LEN(E406)+LEN(F406)+LEN(G406)+LEN(H406)+LEN(I406)+LEN(J406)+LEN(K406)+LEN(M406)+LEN(N406)+LEN(O406)+LEN(P406)+LEN(Q406)+LEN(R406)+LEN(S406)+LEN(T406))=0,"",IF(OR(A406="",B406="",C406="",D406="",E406="",J406="",K406="",N406=""),"⚠ Champ obligatoire manquant",IF(AND(ISNUMBER(K406),ISNUMBER(J406),N(K406)&gt;N(J406)),"⚠ Prix Autopiec &gt; prix public",IF(COUNTIFS($A$2:$A$1001,A406,$B$2:$B$1001,B406)&gt;1,"⚠ Référence en double","✔ OK"))))</f>
        <v/>
      </c>
    </row>
    <row r="407" customFormat="false" ht="15" hidden="false" customHeight="false" outlineLevel="0" collapsed="false">
      <c r="A407" s="11"/>
      <c r="B407" s="27"/>
      <c r="C407" s="11"/>
      <c r="D407" s="11"/>
      <c r="E407" s="11"/>
      <c r="F407" s="27"/>
      <c r="G407" s="27"/>
      <c r="H407" s="11"/>
      <c r="I407" s="11"/>
      <c r="J407" s="12"/>
      <c r="K407" s="12"/>
      <c r="L407" s="28" t="str">
        <f aca="false">IF(AND(ISNUMBER(J407),ISNUMBER(K407),N(J407)&gt;0),1-K407/J407,"")</f>
        <v/>
      </c>
      <c r="M407" s="29"/>
      <c r="N407" s="30"/>
      <c r="O407" s="30"/>
      <c r="P407" s="11"/>
      <c r="Q407" s="31"/>
      <c r="R407" s="11"/>
      <c r="S407" s="11"/>
      <c r="T407" s="11"/>
      <c r="U407" s="32" t="str">
        <f aca="false">IF((LEN(A407)+LEN(B407)+LEN(C407)+LEN(D407)+LEN(E407)+LEN(F407)+LEN(G407)+LEN(H407)+LEN(I407)+LEN(J407)+LEN(K407)+LEN(M407)+LEN(N407)+LEN(O407)+LEN(P407)+LEN(Q407)+LEN(R407)+LEN(S407)+LEN(T407))=0,"",IF(OR(A407="",B407="",C407="",D407="",E407="",J407="",K407="",N407=""),"⚠ Champ obligatoire manquant",IF(AND(ISNUMBER(K407),ISNUMBER(J407),N(K407)&gt;N(J407)),"⚠ Prix Autopiec &gt; prix public",IF(COUNTIFS($A$2:$A$1001,A407,$B$2:$B$1001,B407)&gt;1,"⚠ Référence en double","✔ OK"))))</f>
        <v/>
      </c>
    </row>
    <row r="408" customFormat="false" ht="15" hidden="false" customHeight="false" outlineLevel="0" collapsed="false">
      <c r="A408" s="11"/>
      <c r="B408" s="27"/>
      <c r="C408" s="11"/>
      <c r="D408" s="11"/>
      <c r="E408" s="11"/>
      <c r="F408" s="27"/>
      <c r="G408" s="27"/>
      <c r="H408" s="11"/>
      <c r="I408" s="11"/>
      <c r="J408" s="12"/>
      <c r="K408" s="12"/>
      <c r="L408" s="28" t="str">
        <f aca="false">IF(AND(ISNUMBER(J408),ISNUMBER(K408),N(J408)&gt;0),1-K408/J408,"")</f>
        <v/>
      </c>
      <c r="M408" s="29"/>
      <c r="N408" s="30"/>
      <c r="O408" s="30"/>
      <c r="P408" s="11"/>
      <c r="Q408" s="31"/>
      <c r="R408" s="11"/>
      <c r="S408" s="11"/>
      <c r="T408" s="11"/>
      <c r="U408" s="32" t="str">
        <f aca="false">IF((LEN(A408)+LEN(B408)+LEN(C408)+LEN(D408)+LEN(E408)+LEN(F408)+LEN(G408)+LEN(H408)+LEN(I408)+LEN(J408)+LEN(K408)+LEN(M408)+LEN(N408)+LEN(O408)+LEN(P408)+LEN(Q408)+LEN(R408)+LEN(S408)+LEN(T408))=0,"",IF(OR(A408="",B408="",C408="",D408="",E408="",J408="",K408="",N408=""),"⚠ Champ obligatoire manquant",IF(AND(ISNUMBER(K408),ISNUMBER(J408),N(K408)&gt;N(J408)),"⚠ Prix Autopiec &gt; prix public",IF(COUNTIFS($A$2:$A$1001,A408,$B$2:$B$1001,B408)&gt;1,"⚠ Référence en double","✔ OK"))))</f>
        <v/>
      </c>
    </row>
    <row r="409" customFormat="false" ht="15" hidden="false" customHeight="false" outlineLevel="0" collapsed="false">
      <c r="A409" s="11"/>
      <c r="B409" s="27"/>
      <c r="C409" s="11"/>
      <c r="D409" s="11"/>
      <c r="E409" s="11"/>
      <c r="F409" s="27"/>
      <c r="G409" s="27"/>
      <c r="H409" s="11"/>
      <c r="I409" s="11"/>
      <c r="J409" s="12"/>
      <c r="K409" s="12"/>
      <c r="L409" s="28" t="str">
        <f aca="false">IF(AND(ISNUMBER(J409),ISNUMBER(K409),N(J409)&gt;0),1-K409/J409,"")</f>
        <v/>
      </c>
      <c r="M409" s="29"/>
      <c r="N409" s="30"/>
      <c r="O409" s="30"/>
      <c r="P409" s="11"/>
      <c r="Q409" s="31"/>
      <c r="R409" s="11"/>
      <c r="S409" s="11"/>
      <c r="T409" s="11"/>
      <c r="U409" s="32" t="str">
        <f aca="false">IF((LEN(A409)+LEN(B409)+LEN(C409)+LEN(D409)+LEN(E409)+LEN(F409)+LEN(G409)+LEN(H409)+LEN(I409)+LEN(J409)+LEN(K409)+LEN(M409)+LEN(N409)+LEN(O409)+LEN(P409)+LEN(Q409)+LEN(R409)+LEN(S409)+LEN(T409))=0,"",IF(OR(A409="",B409="",C409="",D409="",E409="",J409="",K409="",N409=""),"⚠ Champ obligatoire manquant",IF(AND(ISNUMBER(K409),ISNUMBER(J409),N(K409)&gt;N(J409)),"⚠ Prix Autopiec &gt; prix public",IF(COUNTIFS($A$2:$A$1001,A409,$B$2:$B$1001,B409)&gt;1,"⚠ Référence en double","✔ OK"))))</f>
        <v/>
      </c>
    </row>
    <row r="410" customFormat="false" ht="15" hidden="false" customHeight="false" outlineLevel="0" collapsed="false">
      <c r="A410" s="11"/>
      <c r="B410" s="27"/>
      <c r="C410" s="11"/>
      <c r="D410" s="11"/>
      <c r="E410" s="11"/>
      <c r="F410" s="27"/>
      <c r="G410" s="27"/>
      <c r="H410" s="11"/>
      <c r="I410" s="11"/>
      <c r="J410" s="12"/>
      <c r="K410" s="12"/>
      <c r="L410" s="28" t="str">
        <f aca="false">IF(AND(ISNUMBER(J410),ISNUMBER(K410),N(J410)&gt;0),1-K410/J410,"")</f>
        <v/>
      </c>
      <c r="M410" s="29"/>
      <c r="N410" s="30"/>
      <c r="O410" s="30"/>
      <c r="P410" s="11"/>
      <c r="Q410" s="31"/>
      <c r="R410" s="11"/>
      <c r="S410" s="11"/>
      <c r="T410" s="11"/>
      <c r="U410" s="32" t="str">
        <f aca="false">IF((LEN(A410)+LEN(B410)+LEN(C410)+LEN(D410)+LEN(E410)+LEN(F410)+LEN(G410)+LEN(H410)+LEN(I410)+LEN(J410)+LEN(K410)+LEN(M410)+LEN(N410)+LEN(O410)+LEN(P410)+LEN(Q410)+LEN(R410)+LEN(S410)+LEN(T410))=0,"",IF(OR(A410="",B410="",C410="",D410="",E410="",J410="",K410="",N410=""),"⚠ Champ obligatoire manquant",IF(AND(ISNUMBER(K410),ISNUMBER(J410),N(K410)&gt;N(J410)),"⚠ Prix Autopiec &gt; prix public",IF(COUNTIFS($A$2:$A$1001,A410,$B$2:$B$1001,B410)&gt;1,"⚠ Référence en double","✔ OK"))))</f>
        <v/>
      </c>
    </row>
    <row r="411" customFormat="false" ht="15" hidden="false" customHeight="false" outlineLevel="0" collapsed="false">
      <c r="A411" s="11"/>
      <c r="B411" s="27"/>
      <c r="C411" s="11"/>
      <c r="D411" s="11"/>
      <c r="E411" s="11"/>
      <c r="F411" s="27"/>
      <c r="G411" s="27"/>
      <c r="H411" s="11"/>
      <c r="I411" s="11"/>
      <c r="J411" s="12"/>
      <c r="K411" s="12"/>
      <c r="L411" s="28" t="str">
        <f aca="false">IF(AND(ISNUMBER(J411),ISNUMBER(K411),N(J411)&gt;0),1-K411/J411,"")</f>
        <v/>
      </c>
      <c r="M411" s="29"/>
      <c r="N411" s="30"/>
      <c r="O411" s="30"/>
      <c r="P411" s="11"/>
      <c r="Q411" s="31"/>
      <c r="R411" s="11"/>
      <c r="S411" s="11"/>
      <c r="T411" s="11"/>
      <c r="U411" s="32" t="str">
        <f aca="false">IF((LEN(A411)+LEN(B411)+LEN(C411)+LEN(D411)+LEN(E411)+LEN(F411)+LEN(G411)+LEN(H411)+LEN(I411)+LEN(J411)+LEN(K411)+LEN(M411)+LEN(N411)+LEN(O411)+LEN(P411)+LEN(Q411)+LEN(R411)+LEN(S411)+LEN(T411))=0,"",IF(OR(A411="",B411="",C411="",D411="",E411="",J411="",K411="",N411=""),"⚠ Champ obligatoire manquant",IF(AND(ISNUMBER(K411),ISNUMBER(J411),N(K411)&gt;N(J411)),"⚠ Prix Autopiec &gt; prix public",IF(COUNTIFS($A$2:$A$1001,A411,$B$2:$B$1001,B411)&gt;1,"⚠ Référence en double","✔ OK"))))</f>
        <v/>
      </c>
    </row>
    <row r="412" customFormat="false" ht="15" hidden="false" customHeight="false" outlineLevel="0" collapsed="false">
      <c r="A412" s="11"/>
      <c r="B412" s="27"/>
      <c r="C412" s="11"/>
      <c r="D412" s="11"/>
      <c r="E412" s="11"/>
      <c r="F412" s="27"/>
      <c r="G412" s="27"/>
      <c r="H412" s="11"/>
      <c r="I412" s="11"/>
      <c r="J412" s="12"/>
      <c r="K412" s="12"/>
      <c r="L412" s="28" t="str">
        <f aca="false">IF(AND(ISNUMBER(J412),ISNUMBER(K412),N(J412)&gt;0),1-K412/J412,"")</f>
        <v/>
      </c>
      <c r="M412" s="29"/>
      <c r="N412" s="30"/>
      <c r="O412" s="30"/>
      <c r="P412" s="11"/>
      <c r="Q412" s="31"/>
      <c r="R412" s="11"/>
      <c r="S412" s="11"/>
      <c r="T412" s="11"/>
      <c r="U412" s="32" t="str">
        <f aca="false">IF((LEN(A412)+LEN(B412)+LEN(C412)+LEN(D412)+LEN(E412)+LEN(F412)+LEN(G412)+LEN(H412)+LEN(I412)+LEN(J412)+LEN(K412)+LEN(M412)+LEN(N412)+LEN(O412)+LEN(P412)+LEN(Q412)+LEN(R412)+LEN(S412)+LEN(T412))=0,"",IF(OR(A412="",B412="",C412="",D412="",E412="",J412="",K412="",N412=""),"⚠ Champ obligatoire manquant",IF(AND(ISNUMBER(K412),ISNUMBER(J412),N(K412)&gt;N(J412)),"⚠ Prix Autopiec &gt; prix public",IF(COUNTIFS($A$2:$A$1001,A412,$B$2:$B$1001,B412)&gt;1,"⚠ Référence en double","✔ OK"))))</f>
        <v/>
      </c>
    </row>
    <row r="413" customFormat="false" ht="15" hidden="false" customHeight="false" outlineLevel="0" collapsed="false">
      <c r="A413" s="11"/>
      <c r="B413" s="27"/>
      <c r="C413" s="11"/>
      <c r="D413" s="11"/>
      <c r="E413" s="11"/>
      <c r="F413" s="27"/>
      <c r="G413" s="27"/>
      <c r="H413" s="11"/>
      <c r="I413" s="11"/>
      <c r="J413" s="12"/>
      <c r="K413" s="12"/>
      <c r="L413" s="28" t="str">
        <f aca="false">IF(AND(ISNUMBER(J413),ISNUMBER(K413),N(J413)&gt;0),1-K413/J413,"")</f>
        <v/>
      </c>
      <c r="M413" s="29"/>
      <c r="N413" s="30"/>
      <c r="O413" s="30"/>
      <c r="P413" s="11"/>
      <c r="Q413" s="31"/>
      <c r="R413" s="11"/>
      <c r="S413" s="11"/>
      <c r="T413" s="11"/>
      <c r="U413" s="32" t="str">
        <f aca="false">IF((LEN(A413)+LEN(B413)+LEN(C413)+LEN(D413)+LEN(E413)+LEN(F413)+LEN(G413)+LEN(H413)+LEN(I413)+LEN(J413)+LEN(K413)+LEN(M413)+LEN(N413)+LEN(O413)+LEN(P413)+LEN(Q413)+LEN(R413)+LEN(S413)+LEN(T413))=0,"",IF(OR(A413="",B413="",C413="",D413="",E413="",J413="",K413="",N413=""),"⚠ Champ obligatoire manquant",IF(AND(ISNUMBER(K413),ISNUMBER(J413),N(K413)&gt;N(J413)),"⚠ Prix Autopiec &gt; prix public",IF(COUNTIFS($A$2:$A$1001,A413,$B$2:$B$1001,B413)&gt;1,"⚠ Référence en double","✔ OK"))))</f>
        <v/>
      </c>
    </row>
    <row r="414" customFormat="false" ht="15" hidden="false" customHeight="false" outlineLevel="0" collapsed="false">
      <c r="A414" s="11"/>
      <c r="B414" s="27"/>
      <c r="C414" s="11"/>
      <c r="D414" s="11"/>
      <c r="E414" s="11"/>
      <c r="F414" s="27"/>
      <c r="G414" s="27"/>
      <c r="H414" s="11"/>
      <c r="I414" s="11"/>
      <c r="J414" s="12"/>
      <c r="K414" s="12"/>
      <c r="L414" s="28" t="str">
        <f aca="false">IF(AND(ISNUMBER(J414),ISNUMBER(K414),N(J414)&gt;0),1-K414/J414,"")</f>
        <v/>
      </c>
      <c r="M414" s="29"/>
      <c r="N414" s="30"/>
      <c r="O414" s="30"/>
      <c r="P414" s="11"/>
      <c r="Q414" s="31"/>
      <c r="R414" s="11"/>
      <c r="S414" s="11"/>
      <c r="T414" s="11"/>
      <c r="U414" s="32" t="str">
        <f aca="false">IF((LEN(A414)+LEN(B414)+LEN(C414)+LEN(D414)+LEN(E414)+LEN(F414)+LEN(G414)+LEN(H414)+LEN(I414)+LEN(J414)+LEN(K414)+LEN(M414)+LEN(N414)+LEN(O414)+LEN(P414)+LEN(Q414)+LEN(R414)+LEN(S414)+LEN(T414))=0,"",IF(OR(A414="",B414="",C414="",D414="",E414="",J414="",K414="",N414=""),"⚠ Champ obligatoire manquant",IF(AND(ISNUMBER(K414),ISNUMBER(J414),N(K414)&gt;N(J414)),"⚠ Prix Autopiec &gt; prix public",IF(COUNTIFS($A$2:$A$1001,A414,$B$2:$B$1001,B414)&gt;1,"⚠ Référence en double","✔ OK"))))</f>
        <v/>
      </c>
    </row>
    <row r="415" customFormat="false" ht="15" hidden="false" customHeight="false" outlineLevel="0" collapsed="false">
      <c r="A415" s="11"/>
      <c r="B415" s="27"/>
      <c r="C415" s="11"/>
      <c r="D415" s="11"/>
      <c r="E415" s="11"/>
      <c r="F415" s="27"/>
      <c r="G415" s="27"/>
      <c r="H415" s="11"/>
      <c r="I415" s="11"/>
      <c r="J415" s="12"/>
      <c r="K415" s="12"/>
      <c r="L415" s="28" t="str">
        <f aca="false">IF(AND(ISNUMBER(J415),ISNUMBER(K415),N(J415)&gt;0),1-K415/J415,"")</f>
        <v/>
      </c>
      <c r="M415" s="29"/>
      <c r="N415" s="30"/>
      <c r="O415" s="30"/>
      <c r="P415" s="11"/>
      <c r="Q415" s="31"/>
      <c r="R415" s="11"/>
      <c r="S415" s="11"/>
      <c r="T415" s="11"/>
      <c r="U415" s="32" t="str">
        <f aca="false">IF((LEN(A415)+LEN(B415)+LEN(C415)+LEN(D415)+LEN(E415)+LEN(F415)+LEN(G415)+LEN(H415)+LEN(I415)+LEN(J415)+LEN(K415)+LEN(M415)+LEN(N415)+LEN(O415)+LEN(P415)+LEN(Q415)+LEN(R415)+LEN(S415)+LEN(T415))=0,"",IF(OR(A415="",B415="",C415="",D415="",E415="",J415="",K415="",N415=""),"⚠ Champ obligatoire manquant",IF(AND(ISNUMBER(K415),ISNUMBER(J415),N(K415)&gt;N(J415)),"⚠ Prix Autopiec &gt; prix public",IF(COUNTIFS($A$2:$A$1001,A415,$B$2:$B$1001,B415)&gt;1,"⚠ Référence en double","✔ OK"))))</f>
        <v/>
      </c>
    </row>
    <row r="416" customFormat="false" ht="15" hidden="false" customHeight="false" outlineLevel="0" collapsed="false">
      <c r="A416" s="11"/>
      <c r="B416" s="27"/>
      <c r="C416" s="11"/>
      <c r="D416" s="11"/>
      <c r="E416" s="11"/>
      <c r="F416" s="27"/>
      <c r="G416" s="27"/>
      <c r="H416" s="11"/>
      <c r="I416" s="11"/>
      <c r="J416" s="12"/>
      <c r="K416" s="12"/>
      <c r="L416" s="28" t="str">
        <f aca="false">IF(AND(ISNUMBER(J416),ISNUMBER(K416),N(J416)&gt;0),1-K416/J416,"")</f>
        <v/>
      </c>
      <c r="M416" s="29"/>
      <c r="N416" s="30"/>
      <c r="O416" s="30"/>
      <c r="P416" s="11"/>
      <c r="Q416" s="31"/>
      <c r="R416" s="11"/>
      <c r="S416" s="11"/>
      <c r="T416" s="11"/>
      <c r="U416" s="32" t="str">
        <f aca="false">IF((LEN(A416)+LEN(B416)+LEN(C416)+LEN(D416)+LEN(E416)+LEN(F416)+LEN(G416)+LEN(H416)+LEN(I416)+LEN(J416)+LEN(K416)+LEN(M416)+LEN(N416)+LEN(O416)+LEN(P416)+LEN(Q416)+LEN(R416)+LEN(S416)+LEN(T416))=0,"",IF(OR(A416="",B416="",C416="",D416="",E416="",J416="",K416="",N416=""),"⚠ Champ obligatoire manquant",IF(AND(ISNUMBER(K416),ISNUMBER(J416),N(K416)&gt;N(J416)),"⚠ Prix Autopiec &gt; prix public",IF(COUNTIFS($A$2:$A$1001,A416,$B$2:$B$1001,B416)&gt;1,"⚠ Référence en double","✔ OK"))))</f>
        <v/>
      </c>
    </row>
    <row r="417" customFormat="false" ht="15" hidden="false" customHeight="false" outlineLevel="0" collapsed="false">
      <c r="A417" s="11"/>
      <c r="B417" s="27"/>
      <c r="C417" s="11"/>
      <c r="D417" s="11"/>
      <c r="E417" s="11"/>
      <c r="F417" s="27"/>
      <c r="G417" s="27"/>
      <c r="H417" s="11"/>
      <c r="I417" s="11"/>
      <c r="J417" s="12"/>
      <c r="K417" s="12"/>
      <c r="L417" s="28" t="str">
        <f aca="false">IF(AND(ISNUMBER(J417),ISNUMBER(K417),N(J417)&gt;0),1-K417/J417,"")</f>
        <v/>
      </c>
      <c r="M417" s="29"/>
      <c r="N417" s="30"/>
      <c r="O417" s="30"/>
      <c r="P417" s="11"/>
      <c r="Q417" s="31"/>
      <c r="R417" s="11"/>
      <c r="S417" s="11"/>
      <c r="T417" s="11"/>
      <c r="U417" s="32" t="str">
        <f aca="false">IF((LEN(A417)+LEN(B417)+LEN(C417)+LEN(D417)+LEN(E417)+LEN(F417)+LEN(G417)+LEN(H417)+LEN(I417)+LEN(J417)+LEN(K417)+LEN(M417)+LEN(N417)+LEN(O417)+LEN(P417)+LEN(Q417)+LEN(R417)+LEN(S417)+LEN(T417))=0,"",IF(OR(A417="",B417="",C417="",D417="",E417="",J417="",K417="",N417=""),"⚠ Champ obligatoire manquant",IF(AND(ISNUMBER(K417),ISNUMBER(J417),N(K417)&gt;N(J417)),"⚠ Prix Autopiec &gt; prix public",IF(COUNTIFS($A$2:$A$1001,A417,$B$2:$B$1001,B417)&gt;1,"⚠ Référence en double","✔ OK"))))</f>
        <v/>
      </c>
    </row>
    <row r="418" customFormat="false" ht="15" hidden="false" customHeight="false" outlineLevel="0" collapsed="false">
      <c r="A418" s="11"/>
      <c r="B418" s="27"/>
      <c r="C418" s="11"/>
      <c r="D418" s="11"/>
      <c r="E418" s="11"/>
      <c r="F418" s="27"/>
      <c r="G418" s="27"/>
      <c r="H418" s="11"/>
      <c r="I418" s="11"/>
      <c r="J418" s="12"/>
      <c r="K418" s="12"/>
      <c r="L418" s="28" t="str">
        <f aca="false">IF(AND(ISNUMBER(J418),ISNUMBER(K418),N(J418)&gt;0),1-K418/J418,"")</f>
        <v/>
      </c>
      <c r="M418" s="29"/>
      <c r="N418" s="30"/>
      <c r="O418" s="30"/>
      <c r="P418" s="11"/>
      <c r="Q418" s="31"/>
      <c r="R418" s="11"/>
      <c r="S418" s="11"/>
      <c r="T418" s="11"/>
      <c r="U418" s="32" t="str">
        <f aca="false">IF((LEN(A418)+LEN(B418)+LEN(C418)+LEN(D418)+LEN(E418)+LEN(F418)+LEN(G418)+LEN(H418)+LEN(I418)+LEN(J418)+LEN(K418)+LEN(M418)+LEN(N418)+LEN(O418)+LEN(P418)+LEN(Q418)+LEN(R418)+LEN(S418)+LEN(T418))=0,"",IF(OR(A418="",B418="",C418="",D418="",E418="",J418="",K418="",N418=""),"⚠ Champ obligatoire manquant",IF(AND(ISNUMBER(K418),ISNUMBER(J418),N(K418)&gt;N(J418)),"⚠ Prix Autopiec &gt; prix public",IF(COUNTIFS($A$2:$A$1001,A418,$B$2:$B$1001,B418)&gt;1,"⚠ Référence en double","✔ OK"))))</f>
        <v/>
      </c>
    </row>
    <row r="419" customFormat="false" ht="15" hidden="false" customHeight="false" outlineLevel="0" collapsed="false">
      <c r="A419" s="11"/>
      <c r="B419" s="27"/>
      <c r="C419" s="11"/>
      <c r="D419" s="11"/>
      <c r="E419" s="11"/>
      <c r="F419" s="27"/>
      <c r="G419" s="27"/>
      <c r="H419" s="11"/>
      <c r="I419" s="11"/>
      <c r="J419" s="12"/>
      <c r="K419" s="12"/>
      <c r="L419" s="28" t="str">
        <f aca="false">IF(AND(ISNUMBER(J419),ISNUMBER(K419),N(J419)&gt;0),1-K419/J419,"")</f>
        <v/>
      </c>
      <c r="M419" s="29"/>
      <c r="N419" s="30"/>
      <c r="O419" s="30"/>
      <c r="P419" s="11"/>
      <c r="Q419" s="31"/>
      <c r="R419" s="11"/>
      <c r="S419" s="11"/>
      <c r="T419" s="11"/>
      <c r="U419" s="32" t="str">
        <f aca="false">IF((LEN(A419)+LEN(B419)+LEN(C419)+LEN(D419)+LEN(E419)+LEN(F419)+LEN(G419)+LEN(H419)+LEN(I419)+LEN(J419)+LEN(K419)+LEN(M419)+LEN(N419)+LEN(O419)+LEN(P419)+LEN(Q419)+LEN(R419)+LEN(S419)+LEN(T419))=0,"",IF(OR(A419="",B419="",C419="",D419="",E419="",J419="",K419="",N419=""),"⚠ Champ obligatoire manquant",IF(AND(ISNUMBER(K419),ISNUMBER(J419),N(K419)&gt;N(J419)),"⚠ Prix Autopiec &gt; prix public",IF(COUNTIFS($A$2:$A$1001,A419,$B$2:$B$1001,B419)&gt;1,"⚠ Référence en double","✔ OK"))))</f>
        <v/>
      </c>
    </row>
    <row r="420" customFormat="false" ht="15" hidden="false" customHeight="false" outlineLevel="0" collapsed="false">
      <c r="A420" s="11"/>
      <c r="B420" s="27"/>
      <c r="C420" s="11"/>
      <c r="D420" s="11"/>
      <c r="E420" s="11"/>
      <c r="F420" s="27"/>
      <c r="G420" s="27"/>
      <c r="H420" s="11"/>
      <c r="I420" s="11"/>
      <c r="J420" s="12"/>
      <c r="K420" s="12"/>
      <c r="L420" s="28" t="str">
        <f aca="false">IF(AND(ISNUMBER(J420),ISNUMBER(K420),N(J420)&gt;0),1-K420/J420,"")</f>
        <v/>
      </c>
      <c r="M420" s="29"/>
      <c r="N420" s="30"/>
      <c r="O420" s="30"/>
      <c r="P420" s="11"/>
      <c r="Q420" s="31"/>
      <c r="R420" s="11"/>
      <c r="S420" s="11"/>
      <c r="T420" s="11"/>
      <c r="U420" s="32" t="str">
        <f aca="false">IF((LEN(A420)+LEN(B420)+LEN(C420)+LEN(D420)+LEN(E420)+LEN(F420)+LEN(G420)+LEN(H420)+LEN(I420)+LEN(J420)+LEN(K420)+LEN(M420)+LEN(N420)+LEN(O420)+LEN(P420)+LEN(Q420)+LEN(R420)+LEN(S420)+LEN(T420))=0,"",IF(OR(A420="",B420="",C420="",D420="",E420="",J420="",K420="",N420=""),"⚠ Champ obligatoire manquant",IF(AND(ISNUMBER(K420),ISNUMBER(J420),N(K420)&gt;N(J420)),"⚠ Prix Autopiec &gt; prix public",IF(COUNTIFS($A$2:$A$1001,A420,$B$2:$B$1001,B420)&gt;1,"⚠ Référence en double","✔ OK"))))</f>
        <v/>
      </c>
    </row>
    <row r="421" customFormat="false" ht="15" hidden="false" customHeight="false" outlineLevel="0" collapsed="false">
      <c r="A421" s="11"/>
      <c r="B421" s="27"/>
      <c r="C421" s="11"/>
      <c r="D421" s="11"/>
      <c r="E421" s="11"/>
      <c r="F421" s="27"/>
      <c r="G421" s="27"/>
      <c r="H421" s="11"/>
      <c r="I421" s="11"/>
      <c r="J421" s="12"/>
      <c r="K421" s="12"/>
      <c r="L421" s="28" t="str">
        <f aca="false">IF(AND(ISNUMBER(J421),ISNUMBER(K421),N(J421)&gt;0),1-K421/J421,"")</f>
        <v/>
      </c>
      <c r="M421" s="29"/>
      <c r="N421" s="30"/>
      <c r="O421" s="30"/>
      <c r="P421" s="11"/>
      <c r="Q421" s="31"/>
      <c r="R421" s="11"/>
      <c r="S421" s="11"/>
      <c r="T421" s="11"/>
      <c r="U421" s="32" t="str">
        <f aca="false">IF((LEN(A421)+LEN(B421)+LEN(C421)+LEN(D421)+LEN(E421)+LEN(F421)+LEN(G421)+LEN(H421)+LEN(I421)+LEN(J421)+LEN(K421)+LEN(M421)+LEN(N421)+LEN(O421)+LEN(P421)+LEN(Q421)+LEN(R421)+LEN(S421)+LEN(T421))=0,"",IF(OR(A421="",B421="",C421="",D421="",E421="",J421="",K421="",N421=""),"⚠ Champ obligatoire manquant",IF(AND(ISNUMBER(K421),ISNUMBER(J421),N(K421)&gt;N(J421)),"⚠ Prix Autopiec &gt; prix public",IF(COUNTIFS($A$2:$A$1001,A421,$B$2:$B$1001,B421)&gt;1,"⚠ Référence en double","✔ OK"))))</f>
        <v/>
      </c>
    </row>
    <row r="422" customFormat="false" ht="15" hidden="false" customHeight="false" outlineLevel="0" collapsed="false">
      <c r="A422" s="11"/>
      <c r="B422" s="27"/>
      <c r="C422" s="11"/>
      <c r="D422" s="11"/>
      <c r="E422" s="11"/>
      <c r="F422" s="27"/>
      <c r="G422" s="27"/>
      <c r="H422" s="11"/>
      <c r="I422" s="11"/>
      <c r="J422" s="12"/>
      <c r="K422" s="12"/>
      <c r="L422" s="28" t="str">
        <f aca="false">IF(AND(ISNUMBER(J422),ISNUMBER(K422),N(J422)&gt;0),1-K422/J422,"")</f>
        <v/>
      </c>
      <c r="M422" s="29"/>
      <c r="N422" s="30"/>
      <c r="O422" s="30"/>
      <c r="P422" s="11"/>
      <c r="Q422" s="31"/>
      <c r="R422" s="11"/>
      <c r="S422" s="11"/>
      <c r="T422" s="11"/>
      <c r="U422" s="32" t="str">
        <f aca="false">IF((LEN(A422)+LEN(B422)+LEN(C422)+LEN(D422)+LEN(E422)+LEN(F422)+LEN(G422)+LEN(H422)+LEN(I422)+LEN(J422)+LEN(K422)+LEN(M422)+LEN(N422)+LEN(O422)+LEN(P422)+LEN(Q422)+LEN(R422)+LEN(S422)+LEN(T422))=0,"",IF(OR(A422="",B422="",C422="",D422="",E422="",J422="",K422="",N422=""),"⚠ Champ obligatoire manquant",IF(AND(ISNUMBER(K422),ISNUMBER(J422),N(K422)&gt;N(J422)),"⚠ Prix Autopiec &gt; prix public",IF(COUNTIFS($A$2:$A$1001,A422,$B$2:$B$1001,B422)&gt;1,"⚠ Référence en double","✔ OK"))))</f>
        <v/>
      </c>
    </row>
    <row r="423" customFormat="false" ht="15" hidden="false" customHeight="false" outlineLevel="0" collapsed="false">
      <c r="A423" s="11"/>
      <c r="B423" s="27"/>
      <c r="C423" s="11"/>
      <c r="D423" s="11"/>
      <c r="E423" s="11"/>
      <c r="F423" s="27"/>
      <c r="G423" s="27"/>
      <c r="H423" s="11"/>
      <c r="I423" s="11"/>
      <c r="J423" s="12"/>
      <c r="K423" s="12"/>
      <c r="L423" s="28" t="str">
        <f aca="false">IF(AND(ISNUMBER(J423),ISNUMBER(K423),N(J423)&gt;0),1-K423/J423,"")</f>
        <v/>
      </c>
      <c r="M423" s="29"/>
      <c r="N423" s="30"/>
      <c r="O423" s="30"/>
      <c r="P423" s="11"/>
      <c r="Q423" s="31"/>
      <c r="R423" s="11"/>
      <c r="S423" s="11"/>
      <c r="T423" s="11"/>
      <c r="U423" s="32" t="str">
        <f aca="false">IF((LEN(A423)+LEN(B423)+LEN(C423)+LEN(D423)+LEN(E423)+LEN(F423)+LEN(G423)+LEN(H423)+LEN(I423)+LEN(J423)+LEN(K423)+LEN(M423)+LEN(N423)+LEN(O423)+LEN(P423)+LEN(Q423)+LEN(R423)+LEN(S423)+LEN(T423))=0,"",IF(OR(A423="",B423="",C423="",D423="",E423="",J423="",K423="",N423=""),"⚠ Champ obligatoire manquant",IF(AND(ISNUMBER(K423),ISNUMBER(J423),N(K423)&gt;N(J423)),"⚠ Prix Autopiec &gt; prix public",IF(COUNTIFS($A$2:$A$1001,A423,$B$2:$B$1001,B423)&gt;1,"⚠ Référence en double","✔ OK"))))</f>
        <v/>
      </c>
    </row>
    <row r="424" customFormat="false" ht="15" hidden="false" customHeight="false" outlineLevel="0" collapsed="false">
      <c r="A424" s="11"/>
      <c r="B424" s="27"/>
      <c r="C424" s="11"/>
      <c r="D424" s="11"/>
      <c r="E424" s="11"/>
      <c r="F424" s="27"/>
      <c r="G424" s="27"/>
      <c r="H424" s="11"/>
      <c r="I424" s="11"/>
      <c r="J424" s="12"/>
      <c r="K424" s="12"/>
      <c r="L424" s="28" t="str">
        <f aca="false">IF(AND(ISNUMBER(J424),ISNUMBER(K424),N(J424)&gt;0),1-K424/J424,"")</f>
        <v/>
      </c>
      <c r="M424" s="29"/>
      <c r="N424" s="30"/>
      <c r="O424" s="30"/>
      <c r="P424" s="11"/>
      <c r="Q424" s="31"/>
      <c r="R424" s="11"/>
      <c r="S424" s="11"/>
      <c r="T424" s="11"/>
      <c r="U424" s="32" t="str">
        <f aca="false">IF((LEN(A424)+LEN(B424)+LEN(C424)+LEN(D424)+LEN(E424)+LEN(F424)+LEN(G424)+LEN(H424)+LEN(I424)+LEN(J424)+LEN(K424)+LEN(M424)+LEN(N424)+LEN(O424)+LEN(P424)+LEN(Q424)+LEN(R424)+LEN(S424)+LEN(T424))=0,"",IF(OR(A424="",B424="",C424="",D424="",E424="",J424="",K424="",N424=""),"⚠ Champ obligatoire manquant",IF(AND(ISNUMBER(K424),ISNUMBER(J424),N(K424)&gt;N(J424)),"⚠ Prix Autopiec &gt; prix public",IF(COUNTIFS($A$2:$A$1001,A424,$B$2:$B$1001,B424)&gt;1,"⚠ Référence en double","✔ OK"))))</f>
        <v/>
      </c>
    </row>
    <row r="425" customFormat="false" ht="15" hidden="false" customHeight="false" outlineLevel="0" collapsed="false">
      <c r="A425" s="11"/>
      <c r="B425" s="27"/>
      <c r="C425" s="11"/>
      <c r="D425" s="11"/>
      <c r="E425" s="11"/>
      <c r="F425" s="27"/>
      <c r="G425" s="27"/>
      <c r="H425" s="11"/>
      <c r="I425" s="11"/>
      <c r="J425" s="12"/>
      <c r="K425" s="12"/>
      <c r="L425" s="28" t="str">
        <f aca="false">IF(AND(ISNUMBER(J425),ISNUMBER(K425),N(J425)&gt;0),1-K425/J425,"")</f>
        <v/>
      </c>
      <c r="M425" s="29"/>
      <c r="N425" s="30"/>
      <c r="O425" s="30"/>
      <c r="P425" s="11"/>
      <c r="Q425" s="31"/>
      <c r="R425" s="11"/>
      <c r="S425" s="11"/>
      <c r="T425" s="11"/>
      <c r="U425" s="32" t="str">
        <f aca="false">IF((LEN(A425)+LEN(B425)+LEN(C425)+LEN(D425)+LEN(E425)+LEN(F425)+LEN(G425)+LEN(H425)+LEN(I425)+LEN(J425)+LEN(K425)+LEN(M425)+LEN(N425)+LEN(O425)+LEN(P425)+LEN(Q425)+LEN(R425)+LEN(S425)+LEN(T425))=0,"",IF(OR(A425="",B425="",C425="",D425="",E425="",J425="",K425="",N425=""),"⚠ Champ obligatoire manquant",IF(AND(ISNUMBER(K425),ISNUMBER(J425),N(K425)&gt;N(J425)),"⚠ Prix Autopiec &gt; prix public",IF(COUNTIFS($A$2:$A$1001,A425,$B$2:$B$1001,B425)&gt;1,"⚠ Référence en double","✔ OK"))))</f>
        <v/>
      </c>
    </row>
    <row r="426" customFormat="false" ht="15" hidden="false" customHeight="false" outlineLevel="0" collapsed="false">
      <c r="A426" s="11"/>
      <c r="B426" s="27"/>
      <c r="C426" s="11"/>
      <c r="D426" s="11"/>
      <c r="E426" s="11"/>
      <c r="F426" s="27"/>
      <c r="G426" s="27"/>
      <c r="H426" s="11"/>
      <c r="I426" s="11"/>
      <c r="J426" s="12"/>
      <c r="K426" s="12"/>
      <c r="L426" s="28" t="str">
        <f aca="false">IF(AND(ISNUMBER(J426),ISNUMBER(K426),N(J426)&gt;0),1-K426/J426,"")</f>
        <v/>
      </c>
      <c r="M426" s="29"/>
      <c r="N426" s="30"/>
      <c r="O426" s="30"/>
      <c r="P426" s="11"/>
      <c r="Q426" s="31"/>
      <c r="R426" s="11"/>
      <c r="S426" s="11"/>
      <c r="T426" s="11"/>
      <c r="U426" s="32" t="str">
        <f aca="false">IF((LEN(A426)+LEN(B426)+LEN(C426)+LEN(D426)+LEN(E426)+LEN(F426)+LEN(G426)+LEN(H426)+LEN(I426)+LEN(J426)+LEN(K426)+LEN(M426)+LEN(N426)+LEN(O426)+LEN(P426)+LEN(Q426)+LEN(R426)+LEN(S426)+LEN(T426))=0,"",IF(OR(A426="",B426="",C426="",D426="",E426="",J426="",K426="",N426=""),"⚠ Champ obligatoire manquant",IF(AND(ISNUMBER(K426),ISNUMBER(J426),N(K426)&gt;N(J426)),"⚠ Prix Autopiec &gt; prix public",IF(COUNTIFS($A$2:$A$1001,A426,$B$2:$B$1001,B426)&gt;1,"⚠ Référence en double","✔ OK"))))</f>
        <v/>
      </c>
    </row>
    <row r="427" customFormat="false" ht="15" hidden="false" customHeight="false" outlineLevel="0" collapsed="false">
      <c r="A427" s="11"/>
      <c r="B427" s="27"/>
      <c r="C427" s="11"/>
      <c r="D427" s="11"/>
      <c r="E427" s="11"/>
      <c r="F427" s="27"/>
      <c r="G427" s="27"/>
      <c r="H427" s="11"/>
      <c r="I427" s="11"/>
      <c r="J427" s="12"/>
      <c r="K427" s="12"/>
      <c r="L427" s="28" t="str">
        <f aca="false">IF(AND(ISNUMBER(J427),ISNUMBER(K427),N(J427)&gt;0),1-K427/J427,"")</f>
        <v/>
      </c>
      <c r="M427" s="29"/>
      <c r="N427" s="30"/>
      <c r="O427" s="30"/>
      <c r="P427" s="11"/>
      <c r="Q427" s="31"/>
      <c r="R427" s="11"/>
      <c r="S427" s="11"/>
      <c r="T427" s="11"/>
      <c r="U427" s="32" t="str">
        <f aca="false">IF((LEN(A427)+LEN(B427)+LEN(C427)+LEN(D427)+LEN(E427)+LEN(F427)+LEN(G427)+LEN(H427)+LEN(I427)+LEN(J427)+LEN(K427)+LEN(M427)+LEN(N427)+LEN(O427)+LEN(P427)+LEN(Q427)+LEN(R427)+LEN(S427)+LEN(T427))=0,"",IF(OR(A427="",B427="",C427="",D427="",E427="",J427="",K427="",N427=""),"⚠ Champ obligatoire manquant",IF(AND(ISNUMBER(K427),ISNUMBER(J427),N(K427)&gt;N(J427)),"⚠ Prix Autopiec &gt; prix public",IF(COUNTIFS($A$2:$A$1001,A427,$B$2:$B$1001,B427)&gt;1,"⚠ Référence en double","✔ OK"))))</f>
        <v/>
      </c>
    </row>
    <row r="428" customFormat="false" ht="15" hidden="false" customHeight="false" outlineLevel="0" collapsed="false">
      <c r="A428" s="11"/>
      <c r="B428" s="27"/>
      <c r="C428" s="11"/>
      <c r="D428" s="11"/>
      <c r="E428" s="11"/>
      <c r="F428" s="27"/>
      <c r="G428" s="27"/>
      <c r="H428" s="11"/>
      <c r="I428" s="11"/>
      <c r="J428" s="12"/>
      <c r="K428" s="12"/>
      <c r="L428" s="28" t="str">
        <f aca="false">IF(AND(ISNUMBER(J428),ISNUMBER(K428),N(J428)&gt;0),1-K428/J428,"")</f>
        <v/>
      </c>
      <c r="M428" s="29"/>
      <c r="N428" s="30"/>
      <c r="O428" s="30"/>
      <c r="P428" s="11"/>
      <c r="Q428" s="31"/>
      <c r="R428" s="11"/>
      <c r="S428" s="11"/>
      <c r="T428" s="11"/>
      <c r="U428" s="32" t="str">
        <f aca="false">IF((LEN(A428)+LEN(B428)+LEN(C428)+LEN(D428)+LEN(E428)+LEN(F428)+LEN(G428)+LEN(H428)+LEN(I428)+LEN(J428)+LEN(K428)+LEN(M428)+LEN(N428)+LEN(O428)+LEN(P428)+LEN(Q428)+LEN(R428)+LEN(S428)+LEN(T428))=0,"",IF(OR(A428="",B428="",C428="",D428="",E428="",J428="",K428="",N428=""),"⚠ Champ obligatoire manquant",IF(AND(ISNUMBER(K428),ISNUMBER(J428),N(K428)&gt;N(J428)),"⚠ Prix Autopiec &gt; prix public",IF(COUNTIFS($A$2:$A$1001,A428,$B$2:$B$1001,B428)&gt;1,"⚠ Référence en double","✔ OK"))))</f>
        <v/>
      </c>
    </row>
    <row r="429" customFormat="false" ht="15" hidden="false" customHeight="false" outlineLevel="0" collapsed="false">
      <c r="A429" s="11"/>
      <c r="B429" s="27"/>
      <c r="C429" s="11"/>
      <c r="D429" s="11"/>
      <c r="E429" s="11"/>
      <c r="F429" s="27"/>
      <c r="G429" s="27"/>
      <c r="H429" s="11"/>
      <c r="I429" s="11"/>
      <c r="J429" s="12"/>
      <c r="K429" s="12"/>
      <c r="L429" s="28" t="str">
        <f aca="false">IF(AND(ISNUMBER(J429),ISNUMBER(K429),N(J429)&gt;0),1-K429/J429,"")</f>
        <v/>
      </c>
      <c r="M429" s="29"/>
      <c r="N429" s="30"/>
      <c r="O429" s="30"/>
      <c r="P429" s="11"/>
      <c r="Q429" s="31"/>
      <c r="R429" s="11"/>
      <c r="S429" s="11"/>
      <c r="T429" s="11"/>
      <c r="U429" s="32" t="str">
        <f aca="false">IF((LEN(A429)+LEN(B429)+LEN(C429)+LEN(D429)+LEN(E429)+LEN(F429)+LEN(G429)+LEN(H429)+LEN(I429)+LEN(J429)+LEN(K429)+LEN(M429)+LEN(N429)+LEN(O429)+LEN(P429)+LEN(Q429)+LEN(R429)+LEN(S429)+LEN(T429))=0,"",IF(OR(A429="",B429="",C429="",D429="",E429="",J429="",K429="",N429=""),"⚠ Champ obligatoire manquant",IF(AND(ISNUMBER(K429),ISNUMBER(J429),N(K429)&gt;N(J429)),"⚠ Prix Autopiec &gt; prix public",IF(COUNTIFS($A$2:$A$1001,A429,$B$2:$B$1001,B429)&gt;1,"⚠ Référence en double","✔ OK"))))</f>
        <v/>
      </c>
    </row>
    <row r="430" customFormat="false" ht="15" hidden="false" customHeight="false" outlineLevel="0" collapsed="false">
      <c r="A430" s="11"/>
      <c r="B430" s="27"/>
      <c r="C430" s="11"/>
      <c r="D430" s="11"/>
      <c r="E430" s="11"/>
      <c r="F430" s="27"/>
      <c r="G430" s="27"/>
      <c r="H430" s="11"/>
      <c r="I430" s="11"/>
      <c r="J430" s="12"/>
      <c r="K430" s="12"/>
      <c r="L430" s="28" t="str">
        <f aca="false">IF(AND(ISNUMBER(J430),ISNUMBER(K430),N(J430)&gt;0),1-K430/J430,"")</f>
        <v/>
      </c>
      <c r="M430" s="29"/>
      <c r="N430" s="30"/>
      <c r="O430" s="30"/>
      <c r="P430" s="11"/>
      <c r="Q430" s="31"/>
      <c r="R430" s="11"/>
      <c r="S430" s="11"/>
      <c r="T430" s="11"/>
      <c r="U430" s="32" t="str">
        <f aca="false">IF((LEN(A430)+LEN(B430)+LEN(C430)+LEN(D430)+LEN(E430)+LEN(F430)+LEN(G430)+LEN(H430)+LEN(I430)+LEN(J430)+LEN(K430)+LEN(M430)+LEN(N430)+LEN(O430)+LEN(P430)+LEN(Q430)+LEN(R430)+LEN(S430)+LEN(T430))=0,"",IF(OR(A430="",B430="",C430="",D430="",E430="",J430="",K430="",N430=""),"⚠ Champ obligatoire manquant",IF(AND(ISNUMBER(K430),ISNUMBER(J430),N(K430)&gt;N(J430)),"⚠ Prix Autopiec &gt; prix public",IF(COUNTIFS($A$2:$A$1001,A430,$B$2:$B$1001,B430)&gt;1,"⚠ Référence en double","✔ OK"))))</f>
        <v/>
      </c>
    </row>
    <row r="431" customFormat="false" ht="15" hidden="false" customHeight="false" outlineLevel="0" collapsed="false">
      <c r="A431" s="11"/>
      <c r="B431" s="27"/>
      <c r="C431" s="11"/>
      <c r="D431" s="11"/>
      <c r="E431" s="11"/>
      <c r="F431" s="27"/>
      <c r="G431" s="27"/>
      <c r="H431" s="11"/>
      <c r="I431" s="11"/>
      <c r="J431" s="12"/>
      <c r="K431" s="12"/>
      <c r="L431" s="28" t="str">
        <f aca="false">IF(AND(ISNUMBER(J431),ISNUMBER(K431),N(J431)&gt;0),1-K431/J431,"")</f>
        <v/>
      </c>
      <c r="M431" s="29"/>
      <c r="N431" s="30"/>
      <c r="O431" s="30"/>
      <c r="P431" s="11"/>
      <c r="Q431" s="31"/>
      <c r="R431" s="11"/>
      <c r="S431" s="11"/>
      <c r="T431" s="11"/>
      <c r="U431" s="32" t="str">
        <f aca="false">IF((LEN(A431)+LEN(B431)+LEN(C431)+LEN(D431)+LEN(E431)+LEN(F431)+LEN(G431)+LEN(H431)+LEN(I431)+LEN(J431)+LEN(K431)+LEN(M431)+LEN(N431)+LEN(O431)+LEN(P431)+LEN(Q431)+LEN(R431)+LEN(S431)+LEN(T431))=0,"",IF(OR(A431="",B431="",C431="",D431="",E431="",J431="",K431="",N431=""),"⚠ Champ obligatoire manquant",IF(AND(ISNUMBER(K431),ISNUMBER(J431),N(K431)&gt;N(J431)),"⚠ Prix Autopiec &gt; prix public",IF(COUNTIFS($A$2:$A$1001,A431,$B$2:$B$1001,B431)&gt;1,"⚠ Référence en double","✔ OK"))))</f>
        <v/>
      </c>
    </row>
    <row r="432" customFormat="false" ht="15" hidden="false" customHeight="false" outlineLevel="0" collapsed="false">
      <c r="A432" s="11"/>
      <c r="B432" s="27"/>
      <c r="C432" s="11"/>
      <c r="D432" s="11"/>
      <c r="E432" s="11"/>
      <c r="F432" s="27"/>
      <c r="G432" s="27"/>
      <c r="H432" s="11"/>
      <c r="I432" s="11"/>
      <c r="J432" s="12"/>
      <c r="K432" s="12"/>
      <c r="L432" s="28" t="str">
        <f aca="false">IF(AND(ISNUMBER(J432),ISNUMBER(K432),N(J432)&gt;0),1-K432/J432,"")</f>
        <v/>
      </c>
      <c r="M432" s="29"/>
      <c r="N432" s="30"/>
      <c r="O432" s="30"/>
      <c r="P432" s="11"/>
      <c r="Q432" s="31"/>
      <c r="R432" s="11"/>
      <c r="S432" s="11"/>
      <c r="T432" s="11"/>
      <c r="U432" s="32" t="str">
        <f aca="false">IF((LEN(A432)+LEN(B432)+LEN(C432)+LEN(D432)+LEN(E432)+LEN(F432)+LEN(G432)+LEN(H432)+LEN(I432)+LEN(J432)+LEN(K432)+LEN(M432)+LEN(N432)+LEN(O432)+LEN(P432)+LEN(Q432)+LEN(R432)+LEN(S432)+LEN(T432))=0,"",IF(OR(A432="",B432="",C432="",D432="",E432="",J432="",K432="",N432=""),"⚠ Champ obligatoire manquant",IF(AND(ISNUMBER(K432),ISNUMBER(J432),N(K432)&gt;N(J432)),"⚠ Prix Autopiec &gt; prix public",IF(COUNTIFS($A$2:$A$1001,A432,$B$2:$B$1001,B432)&gt;1,"⚠ Référence en double","✔ OK"))))</f>
        <v/>
      </c>
    </row>
    <row r="433" customFormat="false" ht="15" hidden="false" customHeight="false" outlineLevel="0" collapsed="false">
      <c r="A433" s="11"/>
      <c r="B433" s="27"/>
      <c r="C433" s="11"/>
      <c r="D433" s="11"/>
      <c r="E433" s="11"/>
      <c r="F433" s="27"/>
      <c r="G433" s="27"/>
      <c r="H433" s="11"/>
      <c r="I433" s="11"/>
      <c r="J433" s="12"/>
      <c r="K433" s="12"/>
      <c r="L433" s="28" t="str">
        <f aca="false">IF(AND(ISNUMBER(J433),ISNUMBER(K433),N(J433)&gt;0),1-K433/J433,"")</f>
        <v/>
      </c>
      <c r="M433" s="29"/>
      <c r="N433" s="30"/>
      <c r="O433" s="30"/>
      <c r="P433" s="11"/>
      <c r="Q433" s="31"/>
      <c r="R433" s="11"/>
      <c r="S433" s="11"/>
      <c r="T433" s="11"/>
      <c r="U433" s="32" t="str">
        <f aca="false">IF((LEN(A433)+LEN(B433)+LEN(C433)+LEN(D433)+LEN(E433)+LEN(F433)+LEN(G433)+LEN(H433)+LEN(I433)+LEN(J433)+LEN(K433)+LEN(M433)+LEN(N433)+LEN(O433)+LEN(P433)+LEN(Q433)+LEN(R433)+LEN(S433)+LEN(T433))=0,"",IF(OR(A433="",B433="",C433="",D433="",E433="",J433="",K433="",N433=""),"⚠ Champ obligatoire manquant",IF(AND(ISNUMBER(K433),ISNUMBER(J433),N(K433)&gt;N(J433)),"⚠ Prix Autopiec &gt; prix public",IF(COUNTIFS($A$2:$A$1001,A433,$B$2:$B$1001,B433)&gt;1,"⚠ Référence en double","✔ OK"))))</f>
        <v/>
      </c>
    </row>
    <row r="434" customFormat="false" ht="15" hidden="false" customHeight="false" outlineLevel="0" collapsed="false">
      <c r="A434" s="11"/>
      <c r="B434" s="27"/>
      <c r="C434" s="11"/>
      <c r="D434" s="11"/>
      <c r="E434" s="11"/>
      <c r="F434" s="27"/>
      <c r="G434" s="27"/>
      <c r="H434" s="11"/>
      <c r="I434" s="11"/>
      <c r="J434" s="12"/>
      <c r="K434" s="12"/>
      <c r="L434" s="28" t="str">
        <f aca="false">IF(AND(ISNUMBER(J434),ISNUMBER(K434),N(J434)&gt;0),1-K434/J434,"")</f>
        <v/>
      </c>
      <c r="M434" s="29"/>
      <c r="N434" s="30"/>
      <c r="O434" s="30"/>
      <c r="P434" s="11"/>
      <c r="Q434" s="31"/>
      <c r="R434" s="11"/>
      <c r="S434" s="11"/>
      <c r="T434" s="11"/>
      <c r="U434" s="32" t="str">
        <f aca="false">IF((LEN(A434)+LEN(B434)+LEN(C434)+LEN(D434)+LEN(E434)+LEN(F434)+LEN(G434)+LEN(H434)+LEN(I434)+LEN(J434)+LEN(K434)+LEN(M434)+LEN(N434)+LEN(O434)+LEN(P434)+LEN(Q434)+LEN(R434)+LEN(S434)+LEN(T434))=0,"",IF(OR(A434="",B434="",C434="",D434="",E434="",J434="",K434="",N434=""),"⚠ Champ obligatoire manquant",IF(AND(ISNUMBER(K434),ISNUMBER(J434),N(K434)&gt;N(J434)),"⚠ Prix Autopiec &gt; prix public",IF(COUNTIFS($A$2:$A$1001,A434,$B$2:$B$1001,B434)&gt;1,"⚠ Référence en double","✔ OK"))))</f>
        <v/>
      </c>
    </row>
    <row r="435" customFormat="false" ht="15" hidden="false" customHeight="false" outlineLevel="0" collapsed="false">
      <c r="A435" s="11"/>
      <c r="B435" s="27"/>
      <c r="C435" s="11"/>
      <c r="D435" s="11"/>
      <c r="E435" s="11"/>
      <c r="F435" s="27"/>
      <c r="G435" s="27"/>
      <c r="H435" s="11"/>
      <c r="I435" s="11"/>
      <c r="J435" s="12"/>
      <c r="K435" s="12"/>
      <c r="L435" s="28" t="str">
        <f aca="false">IF(AND(ISNUMBER(J435),ISNUMBER(K435),N(J435)&gt;0),1-K435/J435,"")</f>
        <v/>
      </c>
      <c r="M435" s="29"/>
      <c r="N435" s="30"/>
      <c r="O435" s="30"/>
      <c r="P435" s="11"/>
      <c r="Q435" s="31"/>
      <c r="R435" s="11"/>
      <c r="S435" s="11"/>
      <c r="T435" s="11"/>
      <c r="U435" s="32" t="str">
        <f aca="false">IF((LEN(A435)+LEN(B435)+LEN(C435)+LEN(D435)+LEN(E435)+LEN(F435)+LEN(G435)+LEN(H435)+LEN(I435)+LEN(J435)+LEN(K435)+LEN(M435)+LEN(N435)+LEN(O435)+LEN(P435)+LEN(Q435)+LEN(R435)+LEN(S435)+LEN(T435))=0,"",IF(OR(A435="",B435="",C435="",D435="",E435="",J435="",K435="",N435=""),"⚠ Champ obligatoire manquant",IF(AND(ISNUMBER(K435),ISNUMBER(J435),N(K435)&gt;N(J435)),"⚠ Prix Autopiec &gt; prix public",IF(COUNTIFS($A$2:$A$1001,A435,$B$2:$B$1001,B435)&gt;1,"⚠ Référence en double","✔ OK"))))</f>
        <v/>
      </c>
    </row>
    <row r="436" customFormat="false" ht="15" hidden="false" customHeight="false" outlineLevel="0" collapsed="false">
      <c r="A436" s="11"/>
      <c r="B436" s="27"/>
      <c r="C436" s="11"/>
      <c r="D436" s="11"/>
      <c r="E436" s="11"/>
      <c r="F436" s="27"/>
      <c r="G436" s="27"/>
      <c r="H436" s="11"/>
      <c r="I436" s="11"/>
      <c r="J436" s="12"/>
      <c r="K436" s="12"/>
      <c r="L436" s="28" t="str">
        <f aca="false">IF(AND(ISNUMBER(J436),ISNUMBER(K436),N(J436)&gt;0),1-K436/J436,"")</f>
        <v/>
      </c>
      <c r="M436" s="29"/>
      <c r="N436" s="30"/>
      <c r="O436" s="30"/>
      <c r="P436" s="11"/>
      <c r="Q436" s="31"/>
      <c r="R436" s="11"/>
      <c r="S436" s="11"/>
      <c r="T436" s="11"/>
      <c r="U436" s="32" t="str">
        <f aca="false">IF((LEN(A436)+LEN(B436)+LEN(C436)+LEN(D436)+LEN(E436)+LEN(F436)+LEN(G436)+LEN(H436)+LEN(I436)+LEN(J436)+LEN(K436)+LEN(M436)+LEN(N436)+LEN(O436)+LEN(P436)+LEN(Q436)+LEN(R436)+LEN(S436)+LEN(T436))=0,"",IF(OR(A436="",B436="",C436="",D436="",E436="",J436="",K436="",N436=""),"⚠ Champ obligatoire manquant",IF(AND(ISNUMBER(K436),ISNUMBER(J436),N(K436)&gt;N(J436)),"⚠ Prix Autopiec &gt; prix public",IF(COUNTIFS($A$2:$A$1001,A436,$B$2:$B$1001,B436)&gt;1,"⚠ Référence en double","✔ OK"))))</f>
        <v/>
      </c>
    </row>
    <row r="437" customFormat="false" ht="15" hidden="false" customHeight="false" outlineLevel="0" collapsed="false">
      <c r="A437" s="11"/>
      <c r="B437" s="27"/>
      <c r="C437" s="11"/>
      <c r="D437" s="11"/>
      <c r="E437" s="11"/>
      <c r="F437" s="27"/>
      <c r="G437" s="27"/>
      <c r="H437" s="11"/>
      <c r="I437" s="11"/>
      <c r="J437" s="12"/>
      <c r="K437" s="12"/>
      <c r="L437" s="28" t="str">
        <f aca="false">IF(AND(ISNUMBER(J437),ISNUMBER(K437),N(J437)&gt;0),1-K437/J437,"")</f>
        <v/>
      </c>
      <c r="M437" s="29"/>
      <c r="N437" s="30"/>
      <c r="O437" s="30"/>
      <c r="P437" s="11"/>
      <c r="Q437" s="31"/>
      <c r="R437" s="11"/>
      <c r="S437" s="11"/>
      <c r="T437" s="11"/>
      <c r="U437" s="32" t="str">
        <f aca="false">IF((LEN(A437)+LEN(B437)+LEN(C437)+LEN(D437)+LEN(E437)+LEN(F437)+LEN(G437)+LEN(H437)+LEN(I437)+LEN(J437)+LEN(K437)+LEN(M437)+LEN(N437)+LEN(O437)+LEN(P437)+LEN(Q437)+LEN(R437)+LEN(S437)+LEN(T437))=0,"",IF(OR(A437="",B437="",C437="",D437="",E437="",J437="",K437="",N437=""),"⚠ Champ obligatoire manquant",IF(AND(ISNUMBER(K437),ISNUMBER(J437),N(K437)&gt;N(J437)),"⚠ Prix Autopiec &gt; prix public",IF(COUNTIFS($A$2:$A$1001,A437,$B$2:$B$1001,B437)&gt;1,"⚠ Référence en double","✔ OK"))))</f>
        <v/>
      </c>
    </row>
    <row r="438" customFormat="false" ht="15" hidden="false" customHeight="false" outlineLevel="0" collapsed="false">
      <c r="A438" s="11"/>
      <c r="B438" s="27"/>
      <c r="C438" s="11"/>
      <c r="D438" s="11"/>
      <c r="E438" s="11"/>
      <c r="F438" s="27"/>
      <c r="G438" s="27"/>
      <c r="H438" s="11"/>
      <c r="I438" s="11"/>
      <c r="J438" s="12"/>
      <c r="K438" s="12"/>
      <c r="L438" s="28" t="str">
        <f aca="false">IF(AND(ISNUMBER(J438),ISNUMBER(K438),N(J438)&gt;0),1-K438/J438,"")</f>
        <v/>
      </c>
      <c r="M438" s="29"/>
      <c r="N438" s="30"/>
      <c r="O438" s="30"/>
      <c r="P438" s="11"/>
      <c r="Q438" s="31"/>
      <c r="R438" s="11"/>
      <c r="S438" s="11"/>
      <c r="T438" s="11"/>
      <c r="U438" s="32" t="str">
        <f aca="false">IF((LEN(A438)+LEN(B438)+LEN(C438)+LEN(D438)+LEN(E438)+LEN(F438)+LEN(G438)+LEN(H438)+LEN(I438)+LEN(J438)+LEN(K438)+LEN(M438)+LEN(N438)+LEN(O438)+LEN(P438)+LEN(Q438)+LEN(R438)+LEN(S438)+LEN(T438))=0,"",IF(OR(A438="",B438="",C438="",D438="",E438="",J438="",K438="",N438=""),"⚠ Champ obligatoire manquant",IF(AND(ISNUMBER(K438),ISNUMBER(J438),N(K438)&gt;N(J438)),"⚠ Prix Autopiec &gt; prix public",IF(COUNTIFS($A$2:$A$1001,A438,$B$2:$B$1001,B438)&gt;1,"⚠ Référence en double","✔ OK"))))</f>
        <v/>
      </c>
    </row>
    <row r="439" customFormat="false" ht="15" hidden="false" customHeight="false" outlineLevel="0" collapsed="false">
      <c r="A439" s="11"/>
      <c r="B439" s="27"/>
      <c r="C439" s="11"/>
      <c r="D439" s="11"/>
      <c r="E439" s="11"/>
      <c r="F439" s="27"/>
      <c r="G439" s="27"/>
      <c r="H439" s="11"/>
      <c r="I439" s="11"/>
      <c r="J439" s="12"/>
      <c r="K439" s="12"/>
      <c r="L439" s="28" t="str">
        <f aca="false">IF(AND(ISNUMBER(J439),ISNUMBER(K439),N(J439)&gt;0),1-K439/J439,"")</f>
        <v/>
      </c>
      <c r="M439" s="29"/>
      <c r="N439" s="30"/>
      <c r="O439" s="30"/>
      <c r="P439" s="11"/>
      <c r="Q439" s="31"/>
      <c r="R439" s="11"/>
      <c r="S439" s="11"/>
      <c r="T439" s="11"/>
      <c r="U439" s="32" t="str">
        <f aca="false">IF((LEN(A439)+LEN(B439)+LEN(C439)+LEN(D439)+LEN(E439)+LEN(F439)+LEN(G439)+LEN(H439)+LEN(I439)+LEN(J439)+LEN(K439)+LEN(M439)+LEN(N439)+LEN(O439)+LEN(P439)+LEN(Q439)+LEN(R439)+LEN(S439)+LEN(T439))=0,"",IF(OR(A439="",B439="",C439="",D439="",E439="",J439="",K439="",N439=""),"⚠ Champ obligatoire manquant",IF(AND(ISNUMBER(K439),ISNUMBER(J439),N(K439)&gt;N(J439)),"⚠ Prix Autopiec &gt; prix public",IF(COUNTIFS($A$2:$A$1001,A439,$B$2:$B$1001,B439)&gt;1,"⚠ Référence en double","✔ OK"))))</f>
        <v/>
      </c>
    </row>
    <row r="440" customFormat="false" ht="15" hidden="false" customHeight="false" outlineLevel="0" collapsed="false">
      <c r="A440" s="11"/>
      <c r="B440" s="27"/>
      <c r="C440" s="11"/>
      <c r="D440" s="11"/>
      <c r="E440" s="11"/>
      <c r="F440" s="27"/>
      <c r="G440" s="27"/>
      <c r="H440" s="11"/>
      <c r="I440" s="11"/>
      <c r="J440" s="12"/>
      <c r="K440" s="12"/>
      <c r="L440" s="28" t="str">
        <f aca="false">IF(AND(ISNUMBER(J440),ISNUMBER(K440),N(J440)&gt;0),1-K440/J440,"")</f>
        <v/>
      </c>
      <c r="M440" s="29"/>
      <c r="N440" s="30"/>
      <c r="O440" s="30"/>
      <c r="P440" s="11"/>
      <c r="Q440" s="31"/>
      <c r="R440" s="11"/>
      <c r="S440" s="11"/>
      <c r="T440" s="11"/>
      <c r="U440" s="32" t="str">
        <f aca="false">IF((LEN(A440)+LEN(B440)+LEN(C440)+LEN(D440)+LEN(E440)+LEN(F440)+LEN(G440)+LEN(H440)+LEN(I440)+LEN(J440)+LEN(K440)+LEN(M440)+LEN(N440)+LEN(O440)+LEN(P440)+LEN(Q440)+LEN(R440)+LEN(S440)+LEN(T440))=0,"",IF(OR(A440="",B440="",C440="",D440="",E440="",J440="",K440="",N440=""),"⚠ Champ obligatoire manquant",IF(AND(ISNUMBER(K440),ISNUMBER(J440),N(K440)&gt;N(J440)),"⚠ Prix Autopiec &gt; prix public",IF(COUNTIFS($A$2:$A$1001,A440,$B$2:$B$1001,B440)&gt;1,"⚠ Référence en double","✔ OK"))))</f>
        <v/>
      </c>
    </row>
    <row r="441" customFormat="false" ht="15" hidden="false" customHeight="false" outlineLevel="0" collapsed="false">
      <c r="A441" s="11"/>
      <c r="B441" s="27"/>
      <c r="C441" s="11"/>
      <c r="D441" s="11"/>
      <c r="E441" s="11"/>
      <c r="F441" s="27"/>
      <c r="G441" s="27"/>
      <c r="H441" s="11"/>
      <c r="I441" s="11"/>
      <c r="J441" s="12"/>
      <c r="K441" s="12"/>
      <c r="L441" s="28" t="str">
        <f aca="false">IF(AND(ISNUMBER(J441),ISNUMBER(K441),N(J441)&gt;0),1-K441/J441,"")</f>
        <v/>
      </c>
      <c r="M441" s="29"/>
      <c r="N441" s="30"/>
      <c r="O441" s="30"/>
      <c r="P441" s="11"/>
      <c r="Q441" s="31"/>
      <c r="R441" s="11"/>
      <c r="S441" s="11"/>
      <c r="T441" s="11"/>
      <c r="U441" s="32" t="str">
        <f aca="false">IF((LEN(A441)+LEN(B441)+LEN(C441)+LEN(D441)+LEN(E441)+LEN(F441)+LEN(G441)+LEN(H441)+LEN(I441)+LEN(J441)+LEN(K441)+LEN(M441)+LEN(N441)+LEN(O441)+LEN(P441)+LEN(Q441)+LEN(R441)+LEN(S441)+LEN(T441))=0,"",IF(OR(A441="",B441="",C441="",D441="",E441="",J441="",K441="",N441=""),"⚠ Champ obligatoire manquant",IF(AND(ISNUMBER(K441),ISNUMBER(J441),N(K441)&gt;N(J441)),"⚠ Prix Autopiec &gt; prix public",IF(COUNTIFS($A$2:$A$1001,A441,$B$2:$B$1001,B441)&gt;1,"⚠ Référence en double","✔ OK"))))</f>
        <v/>
      </c>
    </row>
    <row r="442" customFormat="false" ht="15" hidden="false" customHeight="false" outlineLevel="0" collapsed="false">
      <c r="A442" s="11"/>
      <c r="B442" s="27"/>
      <c r="C442" s="11"/>
      <c r="D442" s="11"/>
      <c r="E442" s="11"/>
      <c r="F442" s="27"/>
      <c r="G442" s="27"/>
      <c r="H442" s="11"/>
      <c r="I442" s="11"/>
      <c r="J442" s="12"/>
      <c r="K442" s="12"/>
      <c r="L442" s="28" t="str">
        <f aca="false">IF(AND(ISNUMBER(J442),ISNUMBER(K442),N(J442)&gt;0),1-K442/J442,"")</f>
        <v/>
      </c>
      <c r="M442" s="29"/>
      <c r="N442" s="30"/>
      <c r="O442" s="30"/>
      <c r="P442" s="11"/>
      <c r="Q442" s="31"/>
      <c r="R442" s="11"/>
      <c r="S442" s="11"/>
      <c r="T442" s="11"/>
      <c r="U442" s="32" t="str">
        <f aca="false">IF((LEN(A442)+LEN(B442)+LEN(C442)+LEN(D442)+LEN(E442)+LEN(F442)+LEN(G442)+LEN(H442)+LEN(I442)+LEN(J442)+LEN(K442)+LEN(M442)+LEN(N442)+LEN(O442)+LEN(P442)+LEN(Q442)+LEN(R442)+LEN(S442)+LEN(T442))=0,"",IF(OR(A442="",B442="",C442="",D442="",E442="",J442="",K442="",N442=""),"⚠ Champ obligatoire manquant",IF(AND(ISNUMBER(K442),ISNUMBER(J442),N(K442)&gt;N(J442)),"⚠ Prix Autopiec &gt; prix public",IF(COUNTIFS($A$2:$A$1001,A442,$B$2:$B$1001,B442)&gt;1,"⚠ Référence en double","✔ OK"))))</f>
        <v/>
      </c>
    </row>
    <row r="443" customFormat="false" ht="15" hidden="false" customHeight="false" outlineLevel="0" collapsed="false">
      <c r="A443" s="11"/>
      <c r="B443" s="27"/>
      <c r="C443" s="11"/>
      <c r="D443" s="11"/>
      <c r="E443" s="11"/>
      <c r="F443" s="27"/>
      <c r="G443" s="27"/>
      <c r="H443" s="11"/>
      <c r="I443" s="11"/>
      <c r="J443" s="12"/>
      <c r="K443" s="12"/>
      <c r="L443" s="28" t="str">
        <f aca="false">IF(AND(ISNUMBER(J443),ISNUMBER(K443),N(J443)&gt;0),1-K443/J443,"")</f>
        <v/>
      </c>
      <c r="M443" s="29"/>
      <c r="N443" s="30"/>
      <c r="O443" s="30"/>
      <c r="P443" s="11"/>
      <c r="Q443" s="31"/>
      <c r="R443" s="11"/>
      <c r="S443" s="11"/>
      <c r="T443" s="11"/>
      <c r="U443" s="32" t="str">
        <f aca="false">IF((LEN(A443)+LEN(B443)+LEN(C443)+LEN(D443)+LEN(E443)+LEN(F443)+LEN(G443)+LEN(H443)+LEN(I443)+LEN(J443)+LEN(K443)+LEN(M443)+LEN(N443)+LEN(O443)+LEN(P443)+LEN(Q443)+LEN(R443)+LEN(S443)+LEN(T443))=0,"",IF(OR(A443="",B443="",C443="",D443="",E443="",J443="",K443="",N443=""),"⚠ Champ obligatoire manquant",IF(AND(ISNUMBER(K443),ISNUMBER(J443),N(K443)&gt;N(J443)),"⚠ Prix Autopiec &gt; prix public",IF(COUNTIFS($A$2:$A$1001,A443,$B$2:$B$1001,B443)&gt;1,"⚠ Référence en double","✔ OK"))))</f>
        <v/>
      </c>
    </row>
    <row r="444" customFormat="false" ht="15" hidden="false" customHeight="false" outlineLevel="0" collapsed="false">
      <c r="A444" s="11"/>
      <c r="B444" s="27"/>
      <c r="C444" s="11"/>
      <c r="D444" s="11"/>
      <c r="E444" s="11"/>
      <c r="F444" s="27"/>
      <c r="G444" s="27"/>
      <c r="H444" s="11"/>
      <c r="I444" s="11"/>
      <c r="J444" s="12"/>
      <c r="K444" s="12"/>
      <c r="L444" s="28" t="str">
        <f aca="false">IF(AND(ISNUMBER(J444),ISNUMBER(K444),N(J444)&gt;0),1-K444/J444,"")</f>
        <v/>
      </c>
      <c r="M444" s="29"/>
      <c r="N444" s="30"/>
      <c r="O444" s="30"/>
      <c r="P444" s="11"/>
      <c r="Q444" s="31"/>
      <c r="R444" s="11"/>
      <c r="S444" s="11"/>
      <c r="T444" s="11"/>
      <c r="U444" s="32" t="str">
        <f aca="false">IF((LEN(A444)+LEN(B444)+LEN(C444)+LEN(D444)+LEN(E444)+LEN(F444)+LEN(G444)+LEN(H444)+LEN(I444)+LEN(J444)+LEN(K444)+LEN(M444)+LEN(N444)+LEN(O444)+LEN(P444)+LEN(Q444)+LEN(R444)+LEN(S444)+LEN(T444))=0,"",IF(OR(A444="",B444="",C444="",D444="",E444="",J444="",K444="",N444=""),"⚠ Champ obligatoire manquant",IF(AND(ISNUMBER(K444),ISNUMBER(J444),N(K444)&gt;N(J444)),"⚠ Prix Autopiec &gt; prix public",IF(COUNTIFS($A$2:$A$1001,A444,$B$2:$B$1001,B444)&gt;1,"⚠ Référence en double","✔ OK"))))</f>
        <v/>
      </c>
    </row>
    <row r="445" customFormat="false" ht="15" hidden="false" customHeight="false" outlineLevel="0" collapsed="false">
      <c r="A445" s="11"/>
      <c r="B445" s="27"/>
      <c r="C445" s="11"/>
      <c r="D445" s="11"/>
      <c r="E445" s="11"/>
      <c r="F445" s="27"/>
      <c r="G445" s="27"/>
      <c r="H445" s="11"/>
      <c r="I445" s="11"/>
      <c r="J445" s="12"/>
      <c r="K445" s="12"/>
      <c r="L445" s="28" t="str">
        <f aca="false">IF(AND(ISNUMBER(J445),ISNUMBER(K445),N(J445)&gt;0),1-K445/J445,"")</f>
        <v/>
      </c>
      <c r="M445" s="29"/>
      <c r="N445" s="30"/>
      <c r="O445" s="30"/>
      <c r="P445" s="11"/>
      <c r="Q445" s="31"/>
      <c r="R445" s="11"/>
      <c r="S445" s="11"/>
      <c r="T445" s="11"/>
      <c r="U445" s="32" t="str">
        <f aca="false">IF((LEN(A445)+LEN(B445)+LEN(C445)+LEN(D445)+LEN(E445)+LEN(F445)+LEN(G445)+LEN(H445)+LEN(I445)+LEN(J445)+LEN(K445)+LEN(M445)+LEN(N445)+LEN(O445)+LEN(P445)+LEN(Q445)+LEN(R445)+LEN(S445)+LEN(T445))=0,"",IF(OR(A445="",B445="",C445="",D445="",E445="",J445="",K445="",N445=""),"⚠ Champ obligatoire manquant",IF(AND(ISNUMBER(K445),ISNUMBER(J445),N(K445)&gt;N(J445)),"⚠ Prix Autopiec &gt; prix public",IF(COUNTIFS($A$2:$A$1001,A445,$B$2:$B$1001,B445)&gt;1,"⚠ Référence en double","✔ OK"))))</f>
        <v/>
      </c>
    </row>
    <row r="446" customFormat="false" ht="15" hidden="false" customHeight="false" outlineLevel="0" collapsed="false">
      <c r="A446" s="11"/>
      <c r="B446" s="27"/>
      <c r="C446" s="11"/>
      <c r="D446" s="11"/>
      <c r="E446" s="11"/>
      <c r="F446" s="27"/>
      <c r="G446" s="27"/>
      <c r="H446" s="11"/>
      <c r="I446" s="11"/>
      <c r="J446" s="12"/>
      <c r="K446" s="12"/>
      <c r="L446" s="28" t="str">
        <f aca="false">IF(AND(ISNUMBER(J446),ISNUMBER(K446),N(J446)&gt;0),1-K446/J446,"")</f>
        <v/>
      </c>
      <c r="M446" s="29"/>
      <c r="N446" s="30"/>
      <c r="O446" s="30"/>
      <c r="P446" s="11"/>
      <c r="Q446" s="31"/>
      <c r="R446" s="11"/>
      <c r="S446" s="11"/>
      <c r="T446" s="11"/>
      <c r="U446" s="32" t="str">
        <f aca="false">IF((LEN(A446)+LEN(B446)+LEN(C446)+LEN(D446)+LEN(E446)+LEN(F446)+LEN(G446)+LEN(H446)+LEN(I446)+LEN(J446)+LEN(K446)+LEN(M446)+LEN(N446)+LEN(O446)+LEN(P446)+LEN(Q446)+LEN(R446)+LEN(S446)+LEN(T446))=0,"",IF(OR(A446="",B446="",C446="",D446="",E446="",J446="",K446="",N446=""),"⚠ Champ obligatoire manquant",IF(AND(ISNUMBER(K446),ISNUMBER(J446),N(K446)&gt;N(J446)),"⚠ Prix Autopiec &gt; prix public",IF(COUNTIFS($A$2:$A$1001,A446,$B$2:$B$1001,B446)&gt;1,"⚠ Référence en double","✔ OK"))))</f>
        <v/>
      </c>
    </row>
    <row r="447" customFormat="false" ht="15" hidden="false" customHeight="false" outlineLevel="0" collapsed="false">
      <c r="A447" s="11"/>
      <c r="B447" s="27"/>
      <c r="C447" s="11"/>
      <c r="D447" s="11"/>
      <c r="E447" s="11"/>
      <c r="F447" s="27"/>
      <c r="G447" s="27"/>
      <c r="H447" s="11"/>
      <c r="I447" s="11"/>
      <c r="J447" s="12"/>
      <c r="K447" s="12"/>
      <c r="L447" s="28" t="str">
        <f aca="false">IF(AND(ISNUMBER(J447),ISNUMBER(K447),N(J447)&gt;0),1-K447/J447,"")</f>
        <v/>
      </c>
      <c r="M447" s="29"/>
      <c r="N447" s="30"/>
      <c r="O447" s="30"/>
      <c r="P447" s="11"/>
      <c r="Q447" s="31"/>
      <c r="R447" s="11"/>
      <c r="S447" s="11"/>
      <c r="T447" s="11"/>
      <c r="U447" s="32" t="str">
        <f aca="false">IF((LEN(A447)+LEN(B447)+LEN(C447)+LEN(D447)+LEN(E447)+LEN(F447)+LEN(G447)+LEN(H447)+LEN(I447)+LEN(J447)+LEN(K447)+LEN(M447)+LEN(N447)+LEN(O447)+LEN(P447)+LEN(Q447)+LEN(R447)+LEN(S447)+LEN(T447))=0,"",IF(OR(A447="",B447="",C447="",D447="",E447="",J447="",K447="",N447=""),"⚠ Champ obligatoire manquant",IF(AND(ISNUMBER(K447),ISNUMBER(J447),N(K447)&gt;N(J447)),"⚠ Prix Autopiec &gt; prix public",IF(COUNTIFS($A$2:$A$1001,A447,$B$2:$B$1001,B447)&gt;1,"⚠ Référence en double","✔ OK"))))</f>
        <v/>
      </c>
    </row>
    <row r="448" customFormat="false" ht="15" hidden="false" customHeight="false" outlineLevel="0" collapsed="false">
      <c r="A448" s="11"/>
      <c r="B448" s="27"/>
      <c r="C448" s="11"/>
      <c r="D448" s="11"/>
      <c r="E448" s="11"/>
      <c r="F448" s="27"/>
      <c r="G448" s="27"/>
      <c r="H448" s="11"/>
      <c r="I448" s="11"/>
      <c r="J448" s="12"/>
      <c r="K448" s="12"/>
      <c r="L448" s="28" t="str">
        <f aca="false">IF(AND(ISNUMBER(J448),ISNUMBER(K448),N(J448)&gt;0),1-K448/J448,"")</f>
        <v/>
      </c>
      <c r="M448" s="29"/>
      <c r="N448" s="30"/>
      <c r="O448" s="30"/>
      <c r="P448" s="11"/>
      <c r="Q448" s="31"/>
      <c r="R448" s="11"/>
      <c r="S448" s="11"/>
      <c r="T448" s="11"/>
      <c r="U448" s="32" t="str">
        <f aca="false">IF((LEN(A448)+LEN(B448)+LEN(C448)+LEN(D448)+LEN(E448)+LEN(F448)+LEN(G448)+LEN(H448)+LEN(I448)+LEN(J448)+LEN(K448)+LEN(M448)+LEN(N448)+LEN(O448)+LEN(P448)+LEN(Q448)+LEN(R448)+LEN(S448)+LEN(T448))=0,"",IF(OR(A448="",B448="",C448="",D448="",E448="",J448="",K448="",N448=""),"⚠ Champ obligatoire manquant",IF(AND(ISNUMBER(K448),ISNUMBER(J448),N(K448)&gt;N(J448)),"⚠ Prix Autopiec &gt; prix public",IF(COUNTIFS($A$2:$A$1001,A448,$B$2:$B$1001,B448)&gt;1,"⚠ Référence en double","✔ OK"))))</f>
        <v/>
      </c>
    </row>
    <row r="449" customFormat="false" ht="15" hidden="false" customHeight="false" outlineLevel="0" collapsed="false">
      <c r="A449" s="11"/>
      <c r="B449" s="27"/>
      <c r="C449" s="11"/>
      <c r="D449" s="11"/>
      <c r="E449" s="11"/>
      <c r="F449" s="27"/>
      <c r="G449" s="27"/>
      <c r="H449" s="11"/>
      <c r="I449" s="11"/>
      <c r="J449" s="12"/>
      <c r="K449" s="12"/>
      <c r="L449" s="28" t="str">
        <f aca="false">IF(AND(ISNUMBER(J449),ISNUMBER(K449),N(J449)&gt;0),1-K449/J449,"")</f>
        <v/>
      </c>
      <c r="M449" s="29"/>
      <c r="N449" s="30"/>
      <c r="O449" s="30"/>
      <c r="P449" s="11"/>
      <c r="Q449" s="31"/>
      <c r="R449" s="11"/>
      <c r="S449" s="11"/>
      <c r="T449" s="11"/>
      <c r="U449" s="32" t="str">
        <f aca="false">IF((LEN(A449)+LEN(B449)+LEN(C449)+LEN(D449)+LEN(E449)+LEN(F449)+LEN(G449)+LEN(H449)+LEN(I449)+LEN(J449)+LEN(K449)+LEN(M449)+LEN(N449)+LEN(O449)+LEN(P449)+LEN(Q449)+LEN(R449)+LEN(S449)+LEN(T449))=0,"",IF(OR(A449="",B449="",C449="",D449="",E449="",J449="",K449="",N449=""),"⚠ Champ obligatoire manquant",IF(AND(ISNUMBER(K449),ISNUMBER(J449),N(K449)&gt;N(J449)),"⚠ Prix Autopiec &gt; prix public",IF(COUNTIFS($A$2:$A$1001,A449,$B$2:$B$1001,B449)&gt;1,"⚠ Référence en double","✔ OK"))))</f>
        <v/>
      </c>
    </row>
    <row r="450" customFormat="false" ht="15" hidden="false" customHeight="false" outlineLevel="0" collapsed="false">
      <c r="A450" s="11"/>
      <c r="B450" s="27"/>
      <c r="C450" s="11"/>
      <c r="D450" s="11"/>
      <c r="E450" s="11"/>
      <c r="F450" s="27"/>
      <c r="G450" s="27"/>
      <c r="H450" s="11"/>
      <c r="I450" s="11"/>
      <c r="J450" s="12"/>
      <c r="K450" s="12"/>
      <c r="L450" s="28" t="str">
        <f aca="false">IF(AND(ISNUMBER(J450),ISNUMBER(K450),N(J450)&gt;0),1-K450/J450,"")</f>
        <v/>
      </c>
      <c r="M450" s="29"/>
      <c r="N450" s="30"/>
      <c r="O450" s="30"/>
      <c r="P450" s="11"/>
      <c r="Q450" s="31"/>
      <c r="R450" s="11"/>
      <c r="S450" s="11"/>
      <c r="T450" s="11"/>
      <c r="U450" s="32" t="str">
        <f aca="false">IF((LEN(A450)+LEN(B450)+LEN(C450)+LEN(D450)+LEN(E450)+LEN(F450)+LEN(G450)+LEN(H450)+LEN(I450)+LEN(J450)+LEN(K450)+LEN(M450)+LEN(N450)+LEN(O450)+LEN(P450)+LEN(Q450)+LEN(R450)+LEN(S450)+LEN(T450))=0,"",IF(OR(A450="",B450="",C450="",D450="",E450="",J450="",K450="",N450=""),"⚠ Champ obligatoire manquant",IF(AND(ISNUMBER(K450),ISNUMBER(J450),N(K450)&gt;N(J450)),"⚠ Prix Autopiec &gt; prix public",IF(COUNTIFS($A$2:$A$1001,A450,$B$2:$B$1001,B450)&gt;1,"⚠ Référence en double","✔ OK"))))</f>
        <v/>
      </c>
    </row>
    <row r="451" customFormat="false" ht="15" hidden="false" customHeight="false" outlineLevel="0" collapsed="false">
      <c r="A451" s="11"/>
      <c r="B451" s="27"/>
      <c r="C451" s="11"/>
      <c r="D451" s="11"/>
      <c r="E451" s="11"/>
      <c r="F451" s="27"/>
      <c r="G451" s="27"/>
      <c r="H451" s="11"/>
      <c r="I451" s="11"/>
      <c r="J451" s="12"/>
      <c r="K451" s="12"/>
      <c r="L451" s="28" t="str">
        <f aca="false">IF(AND(ISNUMBER(J451),ISNUMBER(K451),N(J451)&gt;0),1-K451/J451,"")</f>
        <v/>
      </c>
      <c r="M451" s="29"/>
      <c r="N451" s="30"/>
      <c r="O451" s="30"/>
      <c r="P451" s="11"/>
      <c r="Q451" s="31"/>
      <c r="R451" s="11"/>
      <c r="S451" s="11"/>
      <c r="T451" s="11"/>
      <c r="U451" s="32" t="str">
        <f aca="false">IF((LEN(A451)+LEN(B451)+LEN(C451)+LEN(D451)+LEN(E451)+LEN(F451)+LEN(G451)+LEN(H451)+LEN(I451)+LEN(J451)+LEN(K451)+LEN(M451)+LEN(N451)+LEN(O451)+LEN(P451)+LEN(Q451)+LEN(R451)+LEN(S451)+LEN(T451))=0,"",IF(OR(A451="",B451="",C451="",D451="",E451="",J451="",K451="",N451=""),"⚠ Champ obligatoire manquant",IF(AND(ISNUMBER(K451),ISNUMBER(J451),N(K451)&gt;N(J451)),"⚠ Prix Autopiec &gt; prix public",IF(COUNTIFS($A$2:$A$1001,A451,$B$2:$B$1001,B451)&gt;1,"⚠ Référence en double","✔ OK"))))</f>
        <v/>
      </c>
    </row>
    <row r="452" customFormat="false" ht="15" hidden="false" customHeight="false" outlineLevel="0" collapsed="false">
      <c r="A452" s="11"/>
      <c r="B452" s="27"/>
      <c r="C452" s="11"/>
      <c r="D452" s="11"/>
      <c r="E452" s="11"/>
      <c r="F452" s="27"/>
      <c r="G452" s="27"/>
      <c r="H452" s="11"/>
      <c r="I452" s="11"/>
      <c r="J452" s="12"/>
      <c r="K452" s="12"/>
      <c r="L452" s="28" t="str">
        <f aca="false">IF(AND(ISNUMBER(J452),ISNUMBER(K452),N(J452)&gt;0),1-K452/J452,"")</f>
        <v/>
      </c>
      <c r="M452" s="29"/>
      <c r="N452" s="30"/>
      <c r="O452" s="30"/>
      <c r="P452" s="11"/>
      <c r="Q452" s="31"/>
      <c r="R452" s="11"/>
      <c r="S452" s="11"/>
      <c r="T452" s="11"/>
      <c r="U452" s="32" t="str">
        <f aca="false">IF((LEN(A452)+LEN(B452)+LEN(C452)+LEN(D452)+LEN(E452)+LEN(F452)+LEN(G452)+LEN(H452)+LEN(I452)+LEN(J452)+LEN(K452)+LEN(M452)+LEN(N452)+LEN(O452)+LEN(P452)+LEN(Q452)+LEN(R452)+LEN(S452)+LEN(T452))=0,"",IF(OR(A452="",B452="",C452="",D452="",E452="",J452="",K452="",N452=""),"⚠ Champ obligatoire manquant",IF(AND(ISNUMBER(K452),ISNUMBER(J452),N(K452)&gt;N(J452)),"⚠ Prix Autopiec &gt; prix public",IF(COUNTIFS($A$2:$A$1001,A452,$B$2:$B$1001,B452)&gt;1,"⚠ Référence en double","✔ OK"))))</f>
        <v/>
      </c>
    </row>
    <row r="453" customFormat="false" ht="15" hidden="false" customHeight="false" outlineLevel="0" collapsed="false">
      <c r="A453" s="11"/>
      <c r="B453" s="27"/>
      <c r="C453" s="11"/>
      <c r="D453" s="11"/>
      <c r="E453" s="11"/>
      <c r="F453" s="27"/>
      <c r="G453" s="27"/>
      <c r="H453" s="11"/>
      <c r="I453" s="11"/>
      <c r="J453" s="12"/>
      <c r="K453" s="12"/>
      <c r="L453" s="28" t="str">
        <f aca="false">IF(AND(ISNUMBER(J453),ISNUMBER(K453),N(J453)&gt;0),1-K453/J453,"")</f>
        <v/>
      </c>
      <c r="M453" s="29"/>
      <c r="N453" s="30"/>
      <c r="O453" s="30"/>
      <c r="P453" s="11"/>
      <c r="Q453" s="31"/>
      <c r="R453" s="11"/>
      <c r="S453" s="11"/>
      <c r="T453" s="11"/>
      <c r="U453" s="32" t="str">
        <f aca="false">IF((LEN(A453)+LEN(B453)+LEN(C453)+LEN(D453)+LEN(E453)+LEN(F453)+LEN(G453)+LEN(H453)+LEN(I453)+LEN(J453)+LEN(K453)+LEN(M453)+LEN(N453)+LEN(O453)+LEN(P453)+LEN(Q453)+LEN(R453)+LEN(S453)+LEN(T453))=0,"",IF(OR(A453="",B453="",C453="",D453="",E453="",J453="",K453="",N453=""),"⚠ Champ obligatoire manquant",IF(AND(ISNUMBER(K453),ISNUMBER(J453),N(K453)&gt;N(J453)),"⚠ Prix Autopiec &gt; prix public",IF(COUNTIFS($A$2:$A$1001,A453,$B$2:$B$1001,B453)&gt;1,"⚠ Référence en double","✔ OK"))))</f>
        <v/>
      </c>
    </row>
    <row r="454" customFormat="false" ht="15" hidden="false" customHeight="false" outlineLevel="0" collapsed="false">
      <c r="A454" s="11"/>
      <c r="B454" s="27"/>
      <c r="C454" s="11"/>
      <c r="D454" s="11"/>
      <c r="E454" s="11"/>
      <c r="F454" s="27"/>
      <c r="G454" s="27"/>
      <c r="H454" s="11"/>
      <c r="I454" s="11"/>
      <c r="J454" s="12"/>
      <c r="K454" s="12"/>
      <c r="L454" s="28" t="str">
        <f aca="false">IF(AND(ISNUMBER(J454),ISNUMBER(K454),N(J454)&gt;0),1-K454/J454,"")</f>
        <v/>
      </c>
      <c r="M454" s="29"/>
      <c r="N454" s="30"/>
      <c r="O454" s="30"/>
      <c r="P454" s="11"/>
      <c r="Q454" s="31"/>
      <c r="R454" s="11"/>
      <c r="S454" s="11"/>
      <c r="T454" s="11"/>
      <c r="U454" s="32" t="str">
        <f aca="false">IF((LEN(A454)+LEN(B454)+LEN(C454)+LEN(D454)+LEN(E454)+LEN(F454)+LEN(G454)+LEN(H454)+LEN(I454)+LEN(J454)+LEN(K454)+LEN(M454)+LEN(N454)+LEN(O454)+LEN(P454)+LEN(Q454)+LEN(R454)+LEN(S454)+LEN(T454))=0,"",IF(OR(A454="",B454="",C454="",D454="",E454="",J454="",K454="",N454=""),"⚠ Champ obligatoire manquant",IF(AND(ISNUMBER(K454),ISNUMBER(J454),N(K454)&gt;N(J454)),"⚠ Prix Autopiec &gt; prix public",IF(COUNTIFS($A$2:$A$1001,A454,$B$2:$B$1001,B454)&gt;1,"⚠ Référence en double","✔ OK"))))</f>
        <v/>
      </c>
    </row>
    <row r="455" customFormat="false" ht="15" hidden="false" customHeight="false" outlineLevel="0" collapsed="false">
      <c r="A455" s="11"/>
      <c r="B455" s="27"/>
      <c r="C455" s="11"/>
      <c r="D455" s="11"/>
      <c r="E455" s="11"/>
      <c r="F455" s="27"/>
      <c r="G455" s="27"/>
      <c r="H455" s="11"/>
      <c r="I455" s="11"/>
      <c r="J455" s="12"/>
      <c r="K455" s="12"/>
      <c r="L455" s="28" t="str">
        <f aca="false">IF(AND(ISNUMBER(J455),ISNUMBER(K455),N(J455)&gt;0),1-K455/J455,"")</f>
        <v/>
      </c>
      <c r="M455" s="29"/>
      <c r="N455" s="30"/>
      <c r="O455" s="30"/>
      <c r="P455" s="11"/>
      <c r="Q455" s="31"/>
      <c r="R455" s="11"/>
      <c r="S455" s="11"/>
      <c r="T455" s="11"/>
      <c r="U455" s="32" t="str">
        <f aca="false">IF((LEN(A455)+LEN(B455)+LEN(C455)+LEN(D455)+LEN(E455)+LEN(F455)+LEN(G455)+LEN(H455)+LEN(I455)+LEN(J455)+LEN(K455)+LEN(M455)+LEN(N455)+LEN(O455)+LEN(P455)+LEN(Q455)+LEN(R455)+LEN(S455)+LEN(T455))=0,"",IF(OR(A455="",B455="",C455="",D455="",E455="",J455="",K455="",N455=""),"⚠ Champ obligatoire manquant",IF(AND(ISNUMBER(K455),ISNUMBER(J455),N(K455)&gt;N(J455)),"⚠ Prix Autopiec &gt; prix public",IF(COUNTIFS($A$2:$A$1001,A455,$B$2:$B$1001,B455)&gt;1,"⚠ Référence en double","✔ OK"))))</f>
        <v/>
      </c>
    </row>
    <row r="456" customFormat="false" ht="15" hidden="false" customHeight="false" outlineLevel="0" collapsed="false">
      <c r="A456" s="11"/>
      <c r="B456" s="27"/>
      <c r="C456" s="11"/>
      <c r="D456" s="11"/>
      <c r="E456" s="11"/>
      <c r="F456" s="27"/>
      <c r="G456" s="27"/>
      <c r="H456" s="11"/>
      <c r="I456" s="11"/>
      <c r="J456" s="12"/>
      <c r="K456" s="12"/>
      <c r="L456" s="28" t="str">
        <f aca="false">IF(AND(ISNUMBER(J456),ISNUMBER(K456),N(J456)&gt;0),1-K456/J456,"")</f>
        <v/>
      </c>
      <c r="M456" s="29"/>
      <c r="N456" s="30"/>
      <c r="O456" s="30"/>
      <c r="P456" s="11"/>
      <c r="Q456" s="31"/>
      <c r="R456" s="11"/>
      <c r="S456" s="11"/>
      <c r="T456" s="11"/>
      <c r="U456" s="32" t="str">
        <f aca="false">IF((LEN(A456)+LEN(B456)+LEN(C456)+LEN(D456)+LEN(E456)+LEN(F456)+LEN(G456)+LEN(H456)+LEN(I456)+LEN(J456)+LEN(K456)+LEN(M456)+LEN(N456)+LEN(O456)+LEN(P456)+LEN(Q456)+LEN(R456)+LEN(S456)+LEN(T456))=0,"",IF(OR(A456="",B456="",C456="",D456="",E456="",J456="",K456="",N456=""),"⚠ Champ obligatoire manquant",IF(AND(ISNUMBER(K456),ISNUMBER(J456),N(K456)&gt;N(J456)),"⚠ Prix Autopiec &gt; prix public",IF(COUNTIFS($A$2:$A$1001,A456,$B$2:$B$1001,B456)&gt;1,"⚠ Référence en double","✔ OK"))))</f>
        <v/>
      </c>
    </row>
    <row r="457" customFormat="false" ht="15" hidden="false" customHeight="false" outlineLevel="0" collapsed="false">
      <c r="A457" s="11"/>
      <c r="B457" s="27"/>
      <c r="C457" s="11"/>
      <c r="D457" s="11"/>
      <c r="E457" s="11"/>
      <c r="F457" s="27"/>
      <c r="G457" s="27"/>
      <c r="H457" s="11"/>
      <c r="I457" s="11"/>
      <c r="J457" s="12"/>
      <c r="K457" s="12"/>
      <c r="L457" s="28" t="str">
        <f aca="false">IF(AND(ISNUMBER(J457),ISNUMBER(K457),N(J457)&gt;0),1-K457/J457,"")</f>
        <v/>
      </c>
      <c r="M457" s="29"/>
      <c r="N457" s="30"/>
      <c r="O457" s="30"/>
      <c r="P457" s="11"/>
      <c r="Q457" s="31"/>
      <c r="R457" s="11"/>
      <c r="S457" s="11"/>
      <c r="T457" s="11"/>
      <c r="U457" s="32" t="str">
        <f aca="false">IF((LEN(A457)+LEN(B457)+LEN(C457)+LEN(D457)+LEN(E457)+LEN(F457)+LEN(G457)+LEN(H457)+LEN(I457)+LEN(J457)+LEN(K457)+LEN(M457)+LEN(N457)+LEN(O457)+LEN(P457)+LEN(Q457)+LEN(R457)+LEN(S457)+LEN(T457))=0,"",IF(OR(A457="",B457="",C457="",D457="",E457="",J457="",K457="",N457=""),"⚠ Champ obligatoire manquant",IF(AND(ISNUMBER(K457),ISNUMBER(J457),N(K457)&gt;N(J457)),"⚠ Prix Autopiec &gt; prix public",IF(COUNTIFS($A$2:$A$1001,A457,$B$2:$B$1001,B457)&gt;1,"⚠ Référence en double","✔ OK"))))</f>
        <v/>
      </c>
    </row>
    <row r="458" customFormat="false" ht="15" hidden="false" customHeight="false" outlineLevel="0" collapsed="false">
      <c r="A458" s="11"/>
      <c r="B458" s="27"/>
      <c r="C458" s="11"/>
      <c r="D458" s="11"/>
      <c r="E458" s="11"/>
      <c r="F458" s="27"/>
      <c r="G458" s="27"/>
      <c r="H458" s="11"/>
      <c r="I458" s="11"/>
      <c r="J458" s="12"/>
      <c r="K458" s="12"/>
      <c r="L458" s="28" t="str">
        <f aca="false">IF(AND(ISNUMBER(J458),ISNUMBER(K458),N(J458)&gt;0),1-K458/J458,"")</f>
        <v/>
      </c>
      <c r="M458" s="29"/>
      <c r="N458" s="30"/>
      <c r="O458" s="30"/>
      <c r="P458" s="11"/>
      <c r="Q458" s="31"/>
      <c r="R458" s="11"/>
      <c r="S458" s="11"/>
      <c r="T458" s="11"/>
      <c r="U458" s="32" t="str">
        <f aca="false">IF((LEN(A458)+LEN(B458)+LEN(C458)+LEN(D458)+LEN(E458)+LEN(F458)+LEN(G458)+LEN(H458)+LEN(I458)+LEN(J458)+LEN(K458)+LEN(M458)+LEN(N458)+LEN(O458)+LEN(P458)+LEN(Q458)+LEN(R458)+LEN(S458)+LEN(T458))=0,"",IF(OR(A458="",B458="",C458="",D458="",E458="",J458="",K458="",N458=""),"⚠ Champ obligatoire manquant",IF(AND(ISNUMBER(K458),ISNUMBER(J458),N(K458)&gt;N(J458)),"⚠ Prix Autopiec &gt; prix public",IF(COUNTIFS($A$2:$A$1001,A458,$B$2:$B$1001,B458)&gt;1,"⚠ Référence en double","✔ OK"))))</f>
        <v/>
      </c>
    </row>
    <row r="459" customFormat="false" ht="15" hidden="false" customHeight="false" outlineLevel="0" collapsed="false">
      <c r="A459" s="11"/>
      <c r="B459" s="27"/>
      <c r="C459" s="11"/>
      <c r="D459" s="11"/>
      <c r="E459" s="11"/>
      <c r="F459" s="27"/>
      <c r="G459" s="27"/>
      <c r="H459" s="11"/>
      <c r="I459" s="11"/>
      <c r="J459" s="12"/>
      <c r="K459" s="12"/>
      <c r="L459" s="28" t="str">
        <f aca="false">IF(AND(ISNUMBER(J459),ISNUMBER(K459),N(J459)&gt;0),1-K459/J459,"")</f>
        <v/>
      </c>
      <c r="M459" s="29"/>
      <c r="N459" s="30"/>
      <c r="O459" s="30"/>
      <c r="P459" s="11"/>
      <c r="Q459" s="31"/>
      <c r="R459" s="11"/>
      <c r="S459" s="11"/>
      <c r="T459" s="11"/>
      <c r="U459" s="32" t="str">
        <f aca="false">IF((LEN(A459)+LEN(B459)+LEN(C459)+LEN(D459)+LEN(E459)+LEN(F459)+LEN(G459)+LEN(H459)+LEN(I459)+LEN(J459)+LEN(K459)+LEN(M459)+LEN(N459)+LEN(O459)+LEN(P459)+LEN(Q459)+LEN(R459)+LEN(S459)+LEN(T459))=0,"",IF(OR(A459="",B459="",C459="",D459="",E459="",J459="",K459="",N459=""),"⚠ Champ obligatoire manquant",IF(AND(ISNUMBER(K459),ISNUMBER(J459),N(K459)&gt;N(J459)),"⚠ Prix Autopiec &gt; prix public",IF(COUNTIFS($A$2:$A$1001,A459,$B$2:$B$1001,B459)&gt;1,"⚠ Référence en double","✔ OK"))))</f>
        <v/>
      </c>
    </row>
    <row r="460" customFormat="false" ht="15" hidden="false" customHeight="false" outlineLevel="0" collapsed="false">
      <c r="A460" s="11"/>
      <c r="B460" s="27"/>
      <c r="C460" s="11"/>
      <c r="D460" s="11"/>
      <c r="E460" s="11"/>
      <c r="F460" s="27"/>
      <c r="G460" s="27"/>
      <c r="H460" s="11"/>
      <c r="I460" s="11"/>
      <c r="J460" s="12"/>
      <c r="K460" s="12"/>
      <c r="L460" s="28" t="str">
        <f aca="false">IF(AND(ISNUMBER(J460),ISNUMBER(K460),N(J460)&gt;0),1-K460/J460,"")</f>
        <v/>
      </c>
      <c r="M460" s="29"/>
      <c r="N460" s="30"/>
      <c r="O460" s="30"/>
      <c r="P460" s="11"/>
      <c r="Q460" s="31"/>
      <c r="R460" s="11"/>
      <c r="S460" s="11"/>
      <c r="T460" s="11"/>
      <c r="U460" s="32" t="str">
        <f aca="false">IF((LEN(A460)+LEN(B460)+LEN(C460)+LEN(D460)+LEN(E460)+LEN(F460)+LEN(G460)+LEN(H460)+LEN(I460)+LEN(J460)+LEN(K460)+LEN(M460)+LEN(N460)+LEN(O460)+LEN(P460)+LEN(Q460)+LEN(R460)+LEN(S460)+LEN(T460))=0,"",IF(OR(A460="",B460="",C460="",D460="",E460="",J460="",K460="",N460=""),"⚠ Champ obligatoire manquant",IF(AND(ISNUMBER(K460),ISNUMBER(J460),N(K460)&gt;N(J460)),"⚠ Prix Autopiec &gt; prix public",IF(COUNTIFS($A$2:$A$1001,A460,$B$2:$B$1001,B460)&gt;1,"⚠ Référence en double","✔ OK"))))</f>
        <v/>
      </c>
    </row>
    <row r="461" customFormat="false" ht="15" hidden="false" customHeight="false" outlineLevel="0" collapsed="false">
      <c r="A461" s="11"/>
      <c r="B461" s="27"/>
      <c r="C461" s="11"/>
      <c r="D461" s="11"/>
      <c r="E461" s="11"/>
      <c r="F461" s="27"/>
      <c r="G461" s="27"/>
      <c r="H461" s="11"/>
      <c r="I461" s="11"/>
      <c r="J461" s="12"/>
      <c r="K461" s="12"/>
      <c r="L461" s="28" t="str">
        <f aca="false">IF(AND(ISNUMBER(J461),ISNUMBER(K461),N(J461)&gt;0),1-K461/J461,"")</f>
        <v/>
      </c>
      <c r="M461" s="29"/>
      <c r="N461" s="30"/>
      <c r="O461" s="30"/>
      <c r="P461" s="11"/>
      <c r="Q461" s="31"/>
      <c r="R461" s="11"/>
      <c r="S461" s="11"/>
      <c r="T461" s="11"/>
      <c r="U461" s="32" t="str">
        <f aca="false">IF((LEN(A461)+LEN(B461)+LEN(C461)+LEN(D461)+LEN(E461)+LEN(F461)+LEN(G461)+LEN(H461)+LEN(I461)+LEN(J461)+LEN(K461)+LEN(M461)+LEN(N461)+LEN(O461)+LEN(P461)+LEN(Q461)+LEN(R461)+LEN(S461)+LEN(T461))=0,"",IF(OR(A461="",B461="",C461="",D461="",E461="",J461="",K461="",N461=""),"⚠ Champ obligatoire manquant",IF(AND(ISNUMBER(K461),ISNUMBER(J461),N(K461)&gt;N(J461)),"⚠ Prix Autopiec &gt; prix public",IF(COUNTIFS($A$2:$A$1001,A461,$B$2:$B$1001,B461)&gt;1,"⚠ Référence en double","✔ OK"))))</f>
        <v/>
      </c>
    </row>
    <row r="462" customFormat="false" ht="15" hidden="false" customHeight="false" outlineLevel="0" collapsed="false">
      <c r="A462" s="11"/>
      <c r="B462" s="27"/>
      <c r="C462" s="11"/>
      <c r="D462" s="11"/>
      <c r="E462" s="11"/>
      <c r="F462" s="27"/>
      <c r="G462" s="27"/>
      <c r="H462" s="11"/>
      <c r="I462" s="11"/>
      <c r="J462" s="12"/>
      <c r="K462" s="12"/>
      <c r="L462" s="28" t="str">
        <f aca="false">IF(AND(ISNUMBER(J462),ISNUMBER(K462),N(J462)&gt;0),1-K462/J462,"")</f>
        <v/>
      </c>
      <c r="M462" s="29"/>
      <c r="N462" s="30"/>
      <c r="O462" s="30"/>
      <c r="P462" s="11"/>
      <c r="Q462" s="31"/>
      <c r="R462" s="11"/>
      <c r="S462" s="11"/>
      <c r="T462" s="11"/>
      <c r="U462" s="32" t="str">
        <f aca="false">IF((LEN(A462)+LEN(B462)+LEN(C462)+LEN(D462)+LEN(E462)+LEN(F462)+LEN(G462)+LEN(H462)+LEN(I462)+LEN(J462)+LEN(K462)+LEN(M462)+LEN(N462)+LEN(O462)+LEN(P462)+LEN(Q462)+LEN(R462)+LEN(S462)+LEN(T462))=0,"",IF(OR(A462="",B462="",C462="",D462="",E462="",J462="",K462="",N462=""),"⚠ Champ obligatoire manquant",IF(AND(ISNUMBER(K462),ISNUMBER(J462),N(K462)&gt;N(J462)),"⚠ Prix Autopiec &gt; prix public",IF(COUNTIFS($A$2:$A$1001,A462,$B$2:$B$1001,B462)&gt;1,"⚠ Référence en double","✔ OK"))))</f>
        <v/>
      </c>
    </row>
    <row r="463" customFormat="false" ht="15" hidden="false" customHeight="false" outlineLevel="0" collapsed="false">
      <c r="A463" s="11"/>
      <c r="B463" s="27"/>
      <c r="C463" s="11"/>
      <c r="D463" s="11"/>
      <c r="E463" s="11"/>
      <c r="F463" s="27"/>
      <c r="G463" s="27"/>
      <c r="H463" s="11"/>
      <c r="I463" s="11"/>
      <c r="J463" s="12"/>
      <c r="K463" s="12"/>
      <c r="L463" s="28" t="str">
        <f aca="false">IF(AND(ISNUMBER(J463),ISNUMBER(K463),N(J463)&gt;0),1-K463/J463,"")</f>
        <v/>
      </c>
      <c r="M463" s="29"/>
      <c r="N463" s="30"/>
      <c r="O463" s="30"/>
      <c r="P463" s="11"/>
      <c r="Q463" s="31"/>
      <c r="R463" s="11"/>
      <c r="S463" s="11"/>
      <c r="T463" s="11"/>
      <c r="U463" s="32" t="str">
        <f aca="false">IF((LEN(A463)+LEN(B463)+LEN(C463)+LEN(D463)+LEN(E463)+LEN(F463)+LEN(G463)+LEN(H463)+LEN(I463)+LEN(J463)+LEN(K463)+LEN(M463)+LEN(N463)+LEN(O463)+LEN(P463)+LEN(Q463)+LEN(R463)+LEN(S463)+LEN(T463))=0,"",IF(OR(A463="",B463="",C463="",D463="",E463="",J463="",K463="",N463=""),"⚠ Champ obligatoire manquant",IF(AND(ISNUMBER(K463),ISNUMBER(J463),N(K463)&gt;N(J463)),"⚠ Prix Autopiec &gt; prix public",IF(COUNTIFS($A$2:$A$1001,A463,$B$2:$B$1001,B463)&gt;1,"⚠ Référence en double","✔ OK"))))</f>
        <v/>
      </c>
    </row>
    <row r="464" customFormat="false" ht="15" hidden="false" customHeight="false" outlineLevel="0" collapsed="false">
      <c r="A464" s="11"/>
      <c r="B464" s="27"/>
      <c r="C464" s="11"/>
      <c r="D464" s="11"/>
      <c r="E464" s="11"/>
      <c r="F464" s="27"/>
      <c r="G464" s="27"/>
      <c r="H464" s="11"/>
      <c r="I464" s="11"/>
      <c r="J464" s="12"/>
      <c r="K464" s="12"/>
      <c r="L464" s="28" t="str">
        <f aca="false">IF(AND(ISNUMBER(J464),ISNUMBER(K464),N(J464)&gt;0),1-K464/J464,"")</f>
        <v/>
      </c>
      <c r="M464" s="29"/>
      <c r="N464" s="30"/>
      <c r="O464" s="30"/>
      <c r="P464" s="11"/>
      <c r="Q464" s="31"/>
      <c r="R464" s="11"/>
      <c r="S464" s="11"/>
      <c r="T464" s="11"/>
      <c r="U464" s="32" t="str">
        <f aca="false">IF((LEN(A464)+LEN(B464)+LEN(C464)+LEN(D464)+LEN(E464)+LEN(F464)+LEN(G464)+LEN(H464)+LEN(I464)+LEN(J464)+LEN(K464)+LEN(M464)+LEN(N464)+LEN(O464)+LEN(P464)+LEN(Q464)+LEN(R464)+LEN(S464)+LEN(T464))=0,"",IF(OR(A464="",B464="",C464="",D464="",E464="",J464="",K464="",N464=""),"⚠ Champ obligatoire manquant",IF(AND(ISNUMBER(K464),ISNUMBER(J464),N(K464)&gt;N(J464)),"⚠ Prix Autopiec &gt; prix public",IF(COUNTIFS($A$2:$A$1001,A464,$B$2:$B$1001,B464)&gt;1,"⚠ Référence en double","✔ OK"))))</f>
        <v/>
      </c>
    </row>
    <row r="465" customFormat="false" ht="15" hidden="false" customHeight="false" outlineLevel="0" collapsed="false">
      <c r="A465" s="11"/>
      <c r="B465" s="27"/>
      <c r="C465" s="11"/>
      <c r="D465" s="11"/>
      <c r="E465" s="11"/>
      <c r="F465" s="27"/>
      <c r="G465" s="27"/>
      <c r="H465" s="11"/>
      <c r="I465" s="11"/>
      <c r="J465" s="12"/>
      <c r="K465" s="12"/>
      <c r="L465" s="28" t="str">
        <f aca="false">IF(AND(ISNUMBER(J465),ISNUMBER(K465),N(J465)&gt;0),1-K465/J465,"")</f>
        <v/>
      </c>
      <c r="M465" s="29"/>
      <c r="N465" s="30"/>
      <c r="O465" s="30"/>
      <c r="P465" s="11"/>
      <c r="Q465" s="31"/>
      <c r="R465" s="11"/>
      <c r="S465" s="11"/>
      <c r="T465" s="11"/>
      <c r="U465" s="32" t="str">
        <f aca="false">IF((LEN(A465)+LEN(B465)+LEN(C465)+LEN(D465)+LEN(E465)+LEN(F465)+LEN(G465)+LEN(H465)+LEN(I465)+LEN(J465)+LEN(K465)+LEN(M465)+LEN(N465)+LEN(O465)+LEN(P465)+LEN(Q465)+LEN(R465)+LEN(S465)+LEN(T465))=0,"",IF(OR(A465="",B465="",C465="",D465="",E465="",J465="",K465="",N465=""),"⚠ Champ obligatoire manquant",IF(AND(ISNUMBER(K465),ISNUMBER(J465),N(K465)&gt;N(J465)),"⚠ Prix Autopiec &gt; prix public",IF(COUNTIFS($A$2:$A$1001,A465,$B$2:$B$1001,B465)&gt;1,"⚠ Référence en double","✔ OK"))))</f>
        <v/>
      </c>
    </row>
    <row r="466" customFormat="false" ht="15" hidden="false" customHeight="false" outlineLevel="0" collapsed="false">
      <c r="A466" s="11"/>
      <c r="B466" s="27"/>
      <c r="C466" s="11"/>
      <c r="D466" s="11"/>
      <c r="E466" s="11"/>
      <c r="F466" s="27"/>
      <c r="G466" s="27"/>
      <c r="H466" s="11"/>
      <c r="I466" s="11"/>
      <c r="J466" s="12"/>
      <c r="K466" s="12"/>
      <c r="L466" s="28" t="str">
        <f aca="false">IF(AND(ISNUMBER(J466),ISNUMBER(K466),N(J466)&gt;0),1-K466/J466,"")</f>
        <v/>
      </c>
      <c r="M466" s="29"/>
      <c r="N466" s="30"/>
      <c r="O466" s="30"/>
      <c r="P466" s="11"/>
      <c r="Q466" s="31"/>
      <c r="R466" s="11"/>
      <c r="S466" s="11"/>
      <c r="T466" s="11"/>
      <c r="U466" s="32" t="str">
        <f aca="false">IF((LEN(A466)+LEN(B466)+LEN(C466)+LEN(D466)+LEN(E466)+LEN(F466)+LEN(G466)+LEN(H466)+LEN(I466)+LEN(J466)+LEN(K466)+LEN(M466)+LEN(N466)+LEN(O466)+LEN(P466)+LEN(Q466)+LEN(R466)+LEN(S466)+LEN(T466))=0,"",IF(OR(A466="",B466="",C466="",D466="",E466="",J466="",K466="",N466=""),"⚠ Champ obligatoire manquant",IF(AND(ISNUMBER(K466),ISNUMBER(J466),N(K466)&gt;N(J466)),"⚠ Prix Autopiec &gt; prix public",IF(COUNTIFS($A$2:$A$1001,A466,$B$2:$B$1001,B466)&gt;1,"⚠ Référence en double","✔ OK"))))</f>
        <v/>
      </c>
    </row>
    <row r="467" customFormat="false" ht="15" hidden="false" customHeight="false" outlineLevel="0" collapsed="false">
      <c r="A467" s="11"/>
      <c r="B467" s="27"/>
      <c r="C467" s="11"/>
      <c r="D467" s="11"/>
      <c r="E467" s="11"/>
      <c r="F467" s="27"/>
      <c r="G467" s="27"/>
      <c r="H467" s="11"/>
      <c r="I467" s="11"/>
      <c r="J467" s="12"/>
      <c r="K467" s="12"/>
      <c r="L467" s="28" t="str">
        <f aca="false">IF(AND(ISNUMBER(J467),ISNUMBER(K467),N(J467)&gt;0),1-K467/J467,"")</f>
        <v/>
      </c>
      <c r="M467" s="29"/>
      <c r="N467" s="30"/>
      <c r="O467" s="30"/>
      <c r="P467" s="11"/>
      <c r="Q467" s="31"/>
      <c r="R467" s="11"/>
      <c r="S467" s="11"/>
      <c r="T467" s="11"/>
      <c r="U467" s="32" t="str">
        <f aca="false">IF((LEN(A467)+LEN(B467)+LEN(C467)+LEN(D467)+LEN(E467)+LEN(F467)+LEN(G467)+LEN(H467)+LEN(I467)+LEN(J467)+LEN(K467)+LEN(M467)+LEN(N467)+LEN(O467)+LEN(P467)+LEN(Q467)+LEN(R467)+LEN(S467)+LEN(T467))=0,"",IF(OR(A467="",B467="",C467="",D467="",E467="",J467="",K467="",N467=""),"⚠ Champ obligatoire manquant",IF(AND(ISNUMBER(K467),ISNUMBER(J467),N(K467)&gt;N(J467)),"⚠ Prix Autopiec &gt; prix public",IF(COUNTIFS($A$2:$A$1001,A467,$B$2:$B$1001,B467)&gt;1,"⚠ Référence en double","✔ OK"))))</f>
        <v/>
      </c>
    </row>
    <row r="468" customFormat="false" ht="15" hidden="false" customHeight="false" outlineLevel="0" collapsed="false">
      <c r="A468" s="11"/>
      <c r="B468" s="27"/>
      <c r="C468" s="11"/>
      <c r="D468" s="11"/>
      <c r="E468" s="11"/>
      <c r="F468" s="27"/>
      <c r="G468" s="27"/>
      <c r="H468" s="11"/>
      <c r="I468" s="11"/>
      <c r="J468" s="12"/>
      <c r="K468" s="12"/>
      <c r="L468" s="28" t="str">
        <f aca="false">IF(AND(ISNUMBER(J468),ISNUMBER(K468),N(J468)&gt;0),1-K468/J468,"")</f>
        <v/>
      </c>
      <c r="M468" s="29"/>
      <c r="N468" s="30"/>
      <c r="O468" s="30"/>
      <c r="P468" s="11"/>
      <c r="Q468" s="31"/>
      <c r="R468" s="11"/>
      <c r="S468" s="11"/>
      <c r="T468" s="11"/>
      <c r="U468" s="32" t="str">
        <f aca="false">IF((LEN(A468)+LEN(B468)+LEN(C468)+LEN(D468)+LEN(E468)+LEN(F468)+LEN(G468)+LEN(H468)+LEN(I468)+LEN(J468)+LEN(K468)+LEN(M468)+LEN(N468)+LEN(O468)+LEN(P468)+LEN(Q468)+LEN(R468)+LEN(S468)+LEN(T468))=0,"",IF(OR(A468="",B468="",C468="",D468="",E468="",J468="",K468="",N468=""),"⚠ Champ obligatoire manquant",IF(AND(ISNUMBER(K468),ISNUMBER(J468),N(K468)&gt;N(J468)),"⚠ Prix Autopiec &gt; prix public",IF(COUNTIFS($A$2:$A$1001,A468,$B$2:$B$1001,B468)&gt;1,"⚠ Référence en double","✔ OK"))))</f>
        <v/>
      </c>
    </row>
    <row r="469" customFormat="false" ht="15" hidden="false" customHeight="false" outlineLevel="0" collapsed="false">
      <c r="A469" s="11"/>
      <c r="B469" s="27"/>
      <c r="C469" s="11"/>
      <c r="D469" s="11"/>
      <c r="E469" s="11"/>
      <c r="F469" s="27"/>
      <c r="G469" s="27"/>
      <c r="H469" s="11"/>
      <c r="I469" s="11"/>
      <c r="J469" s="12"/>
      <c r="K469" s="12"/>
      <c r="L469" s="28" t="str">
        <f aca="false">IF(AND(ISNUMBER(J469),ISNUMBER(K469),N(J469)&gt;0),1-K469/J469,"")</f>
        <v/>
      </c>
      <c r="M469" s="29"/>
      <c r="N469" s="30"/>
      <c r="O469" s="30"/>
      <c r="P469" s="11"/>
      <c r="Q469" s="31"/>
      <c r="R469" s="11"/>
      <c r="S469" s="11"/>
      <c r="T469" s="11"/>
      <c r="U469" s="32" t="str">
        <f aca="false">IF((LEN(A469)+LEN(B469)+LEN(C469)+LEN(D469)+LEN(E469)+LEN(F469)+LEN(G469)+LEN(H469)+LEN(I469)+LEN(J469)+LEN(K469)+LEN(M469)+LEN(N469)+LEN(O469)+LEN(P469)+LEN(Q469)+LEN(R469)+LEN(S469)+LEN(T469))=0,"",IF(OR(A469="",B469="",C469="",D469="",E469="",J469="",K469="",N469=""),"⚠ Champ obligatoire manquant",IF(AND(ISNUMBER(K469),ISNUMBER(J469),N(K469)&gt;N(J469)),"⚠ Prix Autopiec &gt; prix public",IF(COUNTIFS($A$2:$A$1001,A469,$B$2:$B$1001,B469)&gt;1,"⚠ Référence en double","✔ OK"))))</f>
        <v/>
      </c>
    </row>
    <row r="470" customFormat="false" ht="15" hidden="false" customHeight="false" outlineLevel="0" collapsed="false">
      <c r="A470" s="11"/>
      <c r="B470" s="27"/>
      <c r="C470" s="11"/>
      <c r="D470" s="11"/>
      <c r="E470" s="11"/>
      <c r="F470" s="27"/>
      <c r="G470" s="27"/>
      <c r="H470" s="11"/>
      <c r="I470" s="11"/>
      <c r="J470" s="12"/>
      <c r="K470" s="12"/>
      <c r="L470" s="28" t="str">
        <f aca="false">IF(AND(ISNUMBER(J470),ISNUMBER(K470),N(J470)&gt;0),1-K470/J470,"")</f>
        <v/>
      </c>
      <c r="M470" s="29"/>
      <c r="N470" s="30"/>
      <c r="O470" s="30"/>
      <c r="P470" s="11"/>
      <c r="Q470" s="31"/>
      <c r="R470" s="11"/>
      <c r="S470" s="11"/>
      <c r="T470" s="11"/>
      <c r="U470" s="32" t="str">
        <f aca="false">IF((LEN(A470)+LEN(B470)+LEN(C470)+LEN(D470)+LEN(E470)+LEN(F470)+LEN(G470)+LEN(H470)+LEN(I470)+LEN(J470)+LEN(K470)+LEN(M470)+LEN(N470)+LEN(O470)+LEN(P470)+LEN(Q470)+LEN(R470)+LEN(S470)+LEN(T470))=0,"",IF(OR(A470="",B470="",C470="",D470="",E470="",J470="",K470="",N470=""),"⚠ Champ obligatoire manquant",IF(AND(ISNUMBER(K470),ISNUMBER(J470),N(K470)&gt;N(J470)),"⚠ Prix Autopiec &gt; prix public",IF(COUNTIFS($A$2:$A$1001,A470,$B$2:$B$1001,B470)&gt;1,"⚠ Référence en double","✔ OK"))))</f>
        <v/>
      </c>
    </row>
    <row r="471" customFormat="false" ht="15" hidden="false" customHeight="false" outlineLevel="0" collapsed="false">
      <c r="A471" s="11"/>
      <c r="B471" s="27"/>
      <c r="C471" s="11"/>
      <c r="D471" s="11"/>
      <c r="E471" s="11"/>
      <c r="F471" s="27"/>
      <c r="G471" s="27"/>
      <c r="H471" s="11"/>
      <c r="I471" s="11"/>
      <c r="J471" s="12"/>
      <c r="K471" s="12"/>
      <c r="L471" s="28" t="str">
        <f aca="false">IF(AND(ISNUMBER(J471),ISNUMBER(K471),N(J471)&gt;0),1-K471/J471,"")</f>
        <v/>
      </c>
      <c r="M471" s="29"/>
      <c r="N471" s="30"/>
      <c r="O471" s="30"/>
      <c r="P471" s="11"/>
      <c r="Q471" s="31"/>
      <c r="R471" s="11"/>
      <c r="S471" s="11"/>
      <c r="T471" s="11"/>
      <c r="U471" s="32" t="str">
        <f aca="false">IF((LEN(A471)+LEN(B471)+LEN(C471)+LEN(D471)+LEN(E471)+LEN(F471)+LEN(G471)+LEN(H471)+LEN(I471)+LEN(J471)+LEN(K471)+LEN(M471)+LEN(N471)+LEN(O471)+LEN(P471)+LEN(Q471)+LEN(R471)+LEN(S471)+LEN(T471))=0,"",IF(OR(A471="",B471="",C471="",D471="",E471="",J471="",K471="",N471=""),"⚠ Champ obligatoire manquant",IF(AND(ISNUMBER(K471),ISNUMBER(J471),N(K471)&gt;N(J471)),"⚠ Prix Autopiec &gt; prix public",IF(COUNTIFS($A$2:$A$1001,A471,$B$2:$B$1001,B471)&gt;1,"⚠ Référence en double","✔ OK"))))</f>
        <v/>
      </c>
    </row>
    <row r="472" customFormat="false" ht="15" hidden="false" customHeight="false" outlineLevel="0" collapsed="false">
      <c r="A472" s="11"/>
      <c r="B472" s="27"/>
      <c r="C472" s="11"/>
      <c r="D472" s="11"/>
      <c r="E472" s="11"/>
      <c r="F472" s="27"/>
      <c r="G472" s="27"/>
      <c r="H472" s="11"/>
      <c r="I472" s="11"/>
      <c r="J472" s="12"/>
      <c r="K472" s="12"/>
      <c r="L472" s="28" t="str">
        <f aca="false">IF(AND(ISNUMBER(J472),ISNUMBER(K472),N(J472)&gt;0),1-K472/J472,"")</f>
        <v/>
      </c>
      <c r="M472" s="29"/>
      <c r="N472" s="30"/>
      <c r="O472" s="30"/>
      <c r="P472" s="11"/>
      <c r="Q472" s="31"/>
      <c r="R472" s="11"/>
      <c r="S472" s="11"/>
      <c r="T472" s="11"/>
      <c r="U472" s="32" t="str">
        <f aca="false">IF((LEN(A472)+LEN(B472)+LEN(C472)+LEN(D472)+LEN(E472)+LEN(F472)+LEN(G472)+LEN(H472)+LEN(I472)+LEN(J472)+LEN(K472)+LEN(M472)+LEN(N472)+LEN(O472)+LEN(P472)+LEN(Q472)+LEN(R472)+LEN(S472)+LEN(T472))=0,"",IF(OR(A472="",B472="",C472="",D472="",E472="",J472="",K472="",N472=""),"⚠ Champ obligatoire manquant",IF(AND(ISNUMBER(K472),ISNUMBER(J472),N(K472)&gt;N(J472)),"⚠ Prix Autopiec &gt; prix public",IF(COUNTIFS($A$2:$A$1001,A472,$B$2:$B$1001,B472)&gt;1,"⚠ Référence en double","✔ OK"))))</f>
        <v/>
      </c>
    </row>
    <row r="473" customFormat="false" ht="15" hidden="false" customHeight="false" outlineLevel="0" collapsed="false">
      <c r="A473" s="11"/>
      <c r="B473" s="27"/>
      <c r="C473" s="11"/>
      <c r="D473" s="11"/>
      <c r="E473" s="11"/>
      <c r="F473" s="27"/>
      <c r="G473" s="27"/>
      <c r="H473" s="11"/>
      <c r="I473" s="11"/>
      <c r="J473" s="12"/>
      <c r="K473" s="12"/>
      <c r="L473" s="28" t="str">
        <f aca="false">IF(AND(ISNUMBER(J473),ISNUMBER(K473),N(J473)&gt;0),1-K473/J473,"")</f>
        <v/>
      </c>
      <c r="M473" s="29"/>
      <c r="N473" s="30"/>
      <c r="O473" s="30"/>
      <c r="P473" s="11"/>
      <c r="Q473" s="31"/>
      <c r="R473" s="11"/>
      <c r="S473" s="11"/>
      <c r="T473" s="11"/>
      <c r="U473" s="32" t="str">
        <f aca="false">IF((LEN(A473)+LEN(B473)+LEN(C473)+LEN(D473)+LEN(E473)+LEN(F473)+LEN(G473)+LEN(H473)+LEN(I473)+LEN(J473)+LEN(K473)+LEN(M473)+LEN(N473)+LEN(O473)+LEN(P473)+LEN(Q473)+LEN(R473)+LEN(S473)+LEN(T473))=0,"",IF(OR(A473="",B473="",C473="",D473="",E473="",J473="",K473="",N473=""),"⚠ Champ obligatoire manquant",IF(AND(ISNUMBER(K473),ISNUMBER(J473),N(K473)&gt;N(J473)),"⚠ Prix Autopiec &gt; prix public",IF(COUNTIFS($A$2:$A$1001,A473,$B$2:$B$1001,B473)&gt;1,"⚠ Référence en double","✔ OK"))))</f>
        <v/>
      </c>
    </row>
    <row r="474" customFormat="false" ht="15" hidden="false" customHeight="false" outlineLevel="0" collapsed="false">
      <c r="A474" s="11"/>
      <c r="B474" s="27"/>
      <c r="C474" s="11"/>
      <c r="D474" s="11"/>
      <c r="E474" s="11"/>
      <c r="F474" s="27"/>
      <c r="G474" s="27"/>
      <c r="H474" s="11"/>
      <c r="I474" s="11"/>
      <c r="J474" s="12"/>
      <c r="K474" s="12"/>
      <c r="L474" s="28" t="str">
        <f aca="false">IF(AND(ISNUMBER(J474),ISNUMBER(K474),N(J474)&gt;0),1-K474/J474,"")</f>
        <v/>
      </c>
      <c r="M474" s="29"/>
      <c r="N474" s="30"/>
      <c r="O474" s="30"/>
      <c r="P474" s="11"/>
      <c r="Q474" s="31"/>
      <c r="R474" s="11"/>
      <c r="S474" s="11"/>
      <c r="T474" s="11"/>
      <c r="U474" s="32" t="str">
        <f aca="false">IF((LEN(A474)+LEN(B474)+LEN(C474)+LEN(D474)+LEN(E474)+LEN(F474)+LEN(G474)+LEN(H474)+LEN(I474)+LEN(J474)+LEN(K474)+LEN(M474)+LEN(N474)+LEN(O474)+LEN(P474)+LEN(Q474)+LEN(R474)+LEN(S474)+LEN(T474))=0,"",IF(OR(A474="",B474="",C474="",D474="",E474="",J474="",K474="",N474=""),"⚠ Champ obligatoire manquant",IF(AND(ISNUMBER(K474),ISNUMBER(J474),N(K474)&gt;N(J474)),"⚠ Prix Autopiec &gt; prix public",IF(COUNTIFS($A$2:$A$1001,A474,$B$2:$B$1001,B474)&gt;1,"⚠ Référence en double","✔ OK"))))</f>
        <v/>
      </c>
    </row>
    <row r="475" customFormat="false" ht="15" hidden="false" customHeight="false" outlineLevel="0" collapsed="false">
      <c r="A475" s="11"/>
      <c r="B475" s="27"/>
      <c r="C475" s="11"/>
      <c r="D475" s="11"/>
      <c r="E475" s="11"/>
      <c r="F475" s="27"/>
      <c r="G475" s="27"/>
      <c r="H475" s="11"/>
      <c r="I475" s="11"/>
      <c r="J475" s="12"/>
      <c r="K475" s="12"/>
      <c r="L475" s="28" t="str">
        <f aca="false">IF(AND(ISNUMBER(J475),ISNUMBER(K475),N(J475)&gt;0),1-K475/J475,"")</f>
        <v/>
      </c>
      <c r="M475" s="29"/>
      <c r="N475" s="30"/>
      <c r="O475" s="30"/>
      <c r="P475" s="11"/>
      <c r="Q475" s="31"/>
      <c r="R475" s="11"/>
      <c r="S475" s="11"/>
      <c r="T475" s="11"/>
      <c r="U475" s="32" t="str">
        <f aca="false">IF((LEN(A475)+LEN(B475)+LEN(C475)+LEN(D475)+LEN(E475)+LEN(F475)+LEN(G475)+LEN(H475)+LEN(I475)+LEN(J475)+LEN(K475)+LEN(M475)+LEN(N475)+LEN(O475)+LEN(P475)+LEN(Q475)+LEN(R475)+LEN(S475)+LEN(T475))=0,"",IF(OR(A475="",B475="",C475="",D475="",E475="",J475="",K475="",N475=""),"⚠ Champ obligatoire manquant",IF(AND(ISNUMBER(K475),ISNUMBER(J475),N(K475)&gt;N(J475)),"⚠ Prix Autopiec &gt; prix public",IF(COUNTIFS($A$2:$A$1001,A475,$B$2:$B$1001,B475)&gt;1,"⚠ Référence en double","✔ OK"))))</f>
        <v/>
      </c>
    </row>
    <row r="476" customFormat="false" ht="15" hidden="false" customHeight="false" outlineLevel="0" collapsed="false">
      <c r="A476" s="11"/>
      <c r="B476" s="27"/>
      <c r="C476" s="11"/>
      <c r="D476" s="11"/>
      <c r="E476" s="11"/>
      <c r="F476" s="27"/>
      <c r="G476" s="27"/>
      <c r="H476" s="11"/>
      <c r="I476" s="11"/>
      <c r="J476" s="12"/>
      <c r="K476" s="12"/>
      <c r="L476" s="28" t="str">
        <f aca="false">IF(AND(ISNUMBER(J476),ISNUMBER(K476),N(J476)&gt;0),1-K476/J476,"")</f>
        <v/>
      </c>
      <c r="M476" s="29"/>
      <c r="N476" s="30"/>
      <c r="O476" s="30"/>
      <c r="P476" s="11"/>
      <c r="Q476" s="31"/>
      <c r="R476" s="11"/>
      <c r="S476" s="11"/>
      <c r="T476" s="11"/>
      <c r="U476" s="32" t="str">
        <f aca="false">IF((LEN(A476)+LEN(B476)+LEN(C476)+LEN(D476)+LEN(E476)+LEN(F476)+LEN(G476)+LEN(H476)+LEN(I476)+LEN(J476)+LEN(K476)+LEN(M476)+LEN(N476)+LEN(O476)+LEN(P476)+LEN(Q476)+LEN(R476)+LEN(S476)+LEN(T476))=0,"",IF(OR(A476="",B476="",C476="",D476="",E476="",J476="",K476="",N476=""),"⚠ Champ obligatoire manquant",IF(AND(ISNUMBER(K476),ISNUMBER(J476),N(K476)&gt;N(J476)),"⚠ Prix Autopiec &gt; prix public",IF(COUNTIFS($A$2:$A$1001,A476,$B$2:$B$1001,B476)&gt;1,"⚠ Référence en double","✔ OK"))))</f>
        <v/>
      </c>
    </row>
    <row r="477" customFormat="false" ht="15" hidden="false" customHeight="false" outlineLevel="0" collapsed="false">
      <c r="A477" s="11"/>
      <c r="B477" s="27"/>
      <c r="C477" s="11"/>
      <c r="D477" s="11"/>
      <c r="E477" s="11"/>
      <c r="F477" s="27"/>
      <c r="G477" s="27"/>
      <c r="H477" s="11"/>
      <c r="I477" s="11"/>
      <c r="J477" s="12"/>
      <c r="K477" s="12"/>
      <c r="L477" s="28" t="str">
        <f aca="false">IF(AND(ISNUMBER(J477),ISNUMBER(K477),N(J477)&gt;0),1-K477/J477,"")</f>
        <v/>
      </c>
      <c r="M477" s="29"/>
      <c r="N477" s="30"/>
      <c r="O477" s="30"/>
      <c r="P477" s="11"/>
      <c r="Q477" s="31"/>
      <c r="R477" s="11"/>
      <c r="S477" s="11"/>
      <c r="T477" s="11"/>
      <c r="U477" s="32" t="str">
        <f aca="false">IF((LEN(A477)+LEN(B477)+LEN(C477)+LEN(D477)+LEN(E477)+LEN(F477)+LEN(G477)+LEN(H477)+LEN(I477)+LEN(J477)+LEN(K477)+LEN(M477)+LEN(N477)+LEN(O477)+LEN(P477)+LEN(Q477)+LEN(R477)+LEN(S477)+LEN(T477))=0,"",IF(OR(A477="",B477="",C477="",D477="",E477="",J477="",K477="",N477=""),"⚠ Champ obligatoire manquant",IF(AND(ISNUMBER(K477),ISNUMBER(J477),N(K477)&gt;N(J477)),"⚠ Prix Autopiec &gt; prix public",IF(COUNTIFS($A$2:$A$1001,A477,$B$2:$B$1001,B477)&gt;1,"⚠ Référence en double","✔ OK"))))</f>
        <v/>
      </c>
    </row>
    <row r="478" customFormat="false" ht="15" hidden="false" customHeight="false" outlineLevel="0" collapsed="false">
      <c r="A478" s="11"/>
      <c r="B478" s="27"/>
      <c r="C478" s="11"/>
      <c r="D478" s="11"/>
      <c r="E478" s="11"/>
      <c r="F478" s="27"/>
      <c r="G478" s="27"/>
      <c r="H478" s="11"/>
      <c r="I478" s="11"/>
      <c r="J478" s="12"/>
      <c r="K478" s="12"/>
      <c r="L478" s="28" t="str">
        <f aca="false">IF(AND(ISNUMBER(J478),ISNUMBER(K478),N(J478)&gt;0),1-K478/J478,"")</f>
        <v/>
      </c>
      <c r="M478" s="29"/>
      <c r="N478" s="30"/>
      <c r="O478" s="30"/>
      <c r="P478" s="11"/>
      <c r="Q478" s="31"/>
      <c r="R478" s="11"/>
      <c r="S478" s="11"/>
      <c r="T478" s="11"/>
      <c r="U478" s="32" t="str">
        <f aca="false">IF((LEN(A478)+LEN(B478)+LEN(C478)+LEN(D478)+LEN(E478)+LEN(F478)+LEN(G478)+LEN(H478)+LEN(I478)+LEN(J478)+LEN(K478)+LEN(M478)+LEN(N478)+LEN(O478)+LEN(P478)+LEN(Q478)+LEN(R478)+LEN(S478)+LEN(T478))=0,"",IF(OR(A478="",B478="",C478="",D478="",E478="",J478="",K478="",N478=""),"⚠ Champ obligatoire manquant",IF(AND(ISNUMBER(K478),ISNUMBER(J478),N(K478)&gt;N(J478)),"⚠ Prix Autopiec &gt; prix public",IF(COUNTIFS($A$2:$A$1001,A478,$B$2:$B$1001,B478)&gt;1,"⚠ Référence en double","✔ OK"))))</f>
        <v/>
      </c>
    </row>
    <row r="479" customFormat="false" ht="15" hidden="false" customHeight="false" outlineLevel="0" collapsed="false">
      <c r="A479" s="11"/>
      <c r="B479" s="27"/>
      <c r="C479" s="11"/>
      <c r="D479" s="11"/>
      <c r="E479" s="11"/>
      <c r="F479" s="27"/>
      <c r="G479" s="27"/>
      <c r="H479" s="11"/>
      <c r="I479" s="11"/>
      <c r="J479" s="12"/>
      <c r="K479" s="12"/>
      <c r="L479" s="28" t="str">
        <f aca="false">IF(AND(ISNUMBER(J479),ISNUMBER(K479),N(J479)&gt;0),1-K479/J479,"")</f>
        <v/>
      </c>
      <c r="M479" s="29"/>
      <c r="N479" s="30"/>
      <c r="O479" s="30"/>
      <c r="P479" s="11"/>
      <c r="Q479" s="31"/>
      <c r="R479" s="11"/>
      <c r="S479" s="11"/>
      <c r="T479" s="11"/>
      <c r="U479" s="32" t="str">
        <f aca="false">IF((LEN(A479)+LEN(B479)+LEN(C479)+LEN(D479)+LEN(E479)+LEN(F479)+LEN(G479)+LEN(H479)+LEN(I479)+LEN(J479)+LEN(K479)+LEN(M479)+LEN(N479)+LEN(O479)+LEN(P479)+LEN(Q479)+LEN(R479)+LEN(S479)+LEN(T479))=0,"",IF(OR(A479="",B479="",C479="",D479="",E479="",J479="",K479="",N479=""),"⚠ Champ obligatoire manquant",IF(AND(ISNUMBER(K479),ISNUMBER(J479),N(K479)&gt;N(J479)),"⚠ Prix Autopiec &gt; prix public",IF(COUNTIFS($A$2:$A$1001,A479,$B$2:$B$1001,B479)&gt;1,"⚠ Référence en double","✔ OK"))))</f>
        <v/>
      </c>
    </row>
    <row r="480" customFormat="false" ht="15" hidden="false" customHeight="false" outlineLevel="0" collapsed="false">
      <c r="A480" s="11"/>
      <c r="B480" s="27"/>
      <c r="C480" s="11"/>
      <c r="D480" s="11"/>
      <c r="E480" s="11"/>
      <c r="F480" s="27"/>
      <c r="G480" s="27"/>
      <c r="H480" s="11"/>
      <c r="I480" s="11"/>
      <c r="J480" s="12"/>
      <c r="K480" s="12"/>
      <c r="L480" s="28" t="str">
        <f aca="false">IF(AND(ISNUMBER(J480),ISNUMBER(K480),N(J480)&gt;0),1-K480/J480,"")</f>
        <v/>
      </c>
      <c r="M480" s="29"/>
      <c r="N480" s="30"/>
      <c r="O480" s="30"/>
      <c r="P480" s="11"/>
      <c r="Q480" s="31"/>
      <c r="R480" s="11"/>
      <c r="S480" s="11"/>
      <c r="T480" s="11"/>
      <c r="U480" s="32" t="str">
        <f aca="false">IF((LEN(A480)+LEN(B480)+LEN(C480)+LEN(D480)+LEN(E480)+LEN(F480)+LEN(G480)+LEN(H480)+LEN(I480)+LEN(J480)+LEN(K480)+LEN(M480)+LEN(N480)+LEN(O480)+LEN(P480)+LEN(Q480)+LEN(R480)+LEN(S480)+LEN(T480))=0,"",IF(OR(A480="",B480="",C480="",D480="",E480="",J480="",K480="",N480=""),"⚠ Champ obligatoire manquant",IF(AND(ISNUMBER(K480),ISNUMBER(J480),N(K480)&gt;N(J480)),"⚠ Prix Autopiec &gt; prix public",IF(COUNTIFS($A$2:$A$1001,A480,$B$2:$B$1001,B480)&gt;1,"⚠ Référence en double","✔ OK"))))</f>
        <v/>
      </c>
    </row>
    <row r="481" customFormat="false" ht="15" hidden="false" customHeight="false" outlineLevel="0" collapsed="false">
      <c r="A481" s="11"/>
      <c r="B481" s="27"/>
      <c r="C481" s="11"/>
      <c r="D481" s="11"/>
      <c r="E481" s="11"/>
      <c r="F481" s="27"/>
      <c r="G481" s="27"/>
      <c r="H481" s="11"/>
      <c r="I481" s="11"/>
      <c r="J481" s="12"/>
      <c r="K481" s="12"/>
      <c r="L481" s="28" t="str">
        <f aca="false">IF(AND(ISNUMBER(J481),ISNUMBER(K481),N(J481)&gt;0),1-K481/J481,"")</f>
        <v/>
      </c>
      <c r="M481" s="29"/>
      <c r="N481" s="30"/>
      <c r="O481" s="30"/>
      <c r="P481" s="11"/>
      <c r="Q481" s="31"/>
      <c r="R481" s="11"/>
      <c r="S481" s="11"/>
      <c r="T481" s="11"/>
      <c r="U481" s="32" t="str">
        <f aca="false">IF((LEN(A481)+LEN(B481)+LEN(C481)+LEN(D481)+LEN(E481)+LEN(F481)+LEN(G481)+LEN(H481)+LEN(I481)+LEN(J481)+LEN(K481)+LEN(M481)+LEN(N481)+LEN(O481)+LEN(P481)+LEN(Q481)+LEN(R481)+LEN(S481)+LEN(T481))=0,"",IF(OR(A481="",B481="",C481="",D481="",E481="",J481="",K481="",N481=""),"⚠ Champ obligatoire manquant",IF(AND(ISNUMBER(K481),ISNUMBER(J481),N(K481)&gt;N(J481)),"⚠ Prix Autopiec &gt; prix public",IF(COUNTIFS($A$2:$A$1001,A481,$B$2:$B$1001,B481)&gt;1,"⚠ Référence en double","✔ OK"))))</f>
        <v/>
      </c>
    </row>
    <row r="482" customFormat="false" ht="15" hidden="false" customHeight="false" outlineLevel="0" collapsed="false">
      <c r="A482" s="11"/>
      <c r="B482" s="27"/>
      <c r="C482" s="11"/>
      <c r="D482" s="11"/>
      <c r="E482" s="11"/>
      <c r="F482" s="27"/>
      <c r="G482" s="27"/>
      <c r="H482" s="11"/>
      <c r="I482" s="11"/>
      <c r="J482" s="12"/>
      <c r="K482" s="12"/>
      <c r="L482" s="28" t="str">
        <f aca="false">IF(AND(ISNUMBER(J482),ISNUMBER(K482),N(J482)&gt;0),1-K482/J482,"")</f>
        <v/>
      </c>
      <c r="M482" s="29"/>
      <c r="N482" s="30"/>
      <c r="O482" s="30"/>
      <c r="P482" s="11"/>
      <c r="Q482" s="31"/>
      <c r="R482" s="11"/>
      <c r="S482" s="11"/>
      <c r="T482" s="11"/>
      <c r="U482" s="32" t="str">
        <f aca="false">IF((LEN(A482)+LEN(B482)+LEN(C482)+LEN(D482)+LEN(E482)+LEN(F482)+LEN(G482)+LEN(H482)+LEN(I482)+LEN(J482)+LEN(K482)+LEN(M482)+LEN(N482)+LEN(O482)+LEN(P482)+LEN(Q482)+LEN(R482)+LEN(S482)+LEN(T482))=0,"",IF(OR(A482="",B482="",C482="",D482="",E482="",J482="",K482="",N482=""),"⚠ Champ obligatoire manquant",IF(AND(ISNUMBER(K482),ISNUMBER(J482),N(K482)&gt;N(J482)),"⚠ Prix Autopiec &gt; prix public",IF(COUNTIFS($A$2:$A$1001,A482,$B$2:$B$1001,B482)&gt;1,"⚠ Référence en double","✔ OK"))))</f>
        <v/>
      </c>
    </row>
    <row r="483" customFormat="false" ht="15" hidden="false" customHeight="false" outlineLevel="0" collapsed="false">
      <c r="A483" s="11"/>
      <c r="B483" s="27"/>
      <c r="C483" s="11"/>
      <c r="D483" s="11"/>
      <c r="E483" s="11"/>
      <c r="F483" s="27"/>
      <c r="G483" s="27"/>
      <c r="H483" s="11"/>
      <c r="I483" s="11"/>
      <c r="J483" s="12"/>
      <c r="K483" s="12"/>
      <c r="L483" s="28" t="str">
        <f aca="false">IF(AND(ISNUMBER(J483),ISNUMBER(K483),N(J483)&gt;0),1-K483/J483,"")</f>
        <v/>
      </c>
      <c r="M483" s="29"/>
      <c r="N483" s="30"/>
      <c r="O483" s="30"/>
      <c r="P483" s="11"/>
      <c r="Q483" s="31"/>
      <c r="R483" s="11"/>
      <c r="S483" s="11"/>
      <c r="T483" s="11"/>
      <c r="U483" s="32" t="str">
        <f aca="false">IF((LEN(A483)+LEN(B483)+LEN(C483)+LEN(D483)+LEN(E483)+LEN(F483)+LEN(G483)+LEN(H483)+LEN(I483)+LEN(J483)+LEN(K483)+LEN(M483)+LEN(N483)+LEN(O483)+LEN(P483)+LEN(Q483)+LEN(R483)+LEN(S483)+LEN(T483))=0,"",IF(OR(A483="",B483="",C483="",D483="",E483="",J483="",K483="",N483=""),"⚠ Champ obligatoire manquant",IF(AND(ISNUMBER(K483),ISNUMBER(J483),N(K483)&gt;N(J483)),"⚠ Prix Autopiec &gt; prix public",IF(COUNTIFS($A$2:$A$1001,A483,$B$2:$B$1001,B483)&gt;1,"⚠ Référence en double","✔ OK"))))</f>
        <v/>
      </c>
    </row>
    <row r="484" customFormat="false" ht="15" hidden="false" customHeight="false" outlineLevel="0" collapsed="false">
      <c r="A484" s="11"/>
      <c r="B484" s="27"/>
      <c r="C484" s="11"/>
      <c r="D484" s="11"/>
      <c r="E484" s="11"/>
      <c r="F484" s="27"/>
      <c r="G484" s="27"/>
      <c r="H484" s="11"/>
      <c r="I484" s="11"/>
      <c r="J484" s="12"/>
      <c r="K484" s="12"/>
      <c r="L484" s="28" t="str">
        <f aca="false">IF(AND(ISNUMBER(J484),ISNUMBER(K484),N(J484)&gt;0),1-K484/J484,"")</f>
        <v/>
      </c>
      <c r="M484" s="29"/>
      <c r="N484" s="30"/>
      <c r="O484" s="30"/>
      <c r="P484" s="11"/>
      <c r="Q484" s="31"/>
      <c r="R484" s="11"/>
      <c r="S484" s="11"/>
      <c r="T484" s="11"/>
      <c r="U484" s="32" t="str">
        <f aca="false">IF((LEN(A484)+LEN(B484)+LEN(C484)+LEN(D484)+LEN(E484)+LEN(F484)+LEN(G484)+LEN(H484)+LEN(I484)+LEN(J484)+LEN(K484)+LEN(M484)+LEN(N484)+LEN(O484)+LEN(P484)+LEN(Q484)+LEN(R484)+LEN(S484)+LEN(T484))=0,"",IF(OR(A484="",B484="",C484="",D484="",E484="",J484="",K484="",N484=""),"⚠ Champ obligatoire manquant",IF(AND(ISNUMBER(K484),ISNUMBER(J484),N(K484)&gt;N(J484)),"⚠ Prix Autopiec &gt; prix public",IF(COUNTIFS($A$2:$A$1001,A484,$B$2:$B$1001,B484)&gt;1,"⚠ Référence en double","✔ OK"))))</f>
        <v/>
      </c>
    </row>
    <row r="485" customFormat="false" ht="15" hidden="false" customHeight="false" outlineLevel="0" collapsed="false">
      <c r="A485" s="11"/>
      <c r="B485" s="27"/>
      <c r="C485" s="11"/>
      <c r="D485" s="11"/>
      <c r="E485" s="11"/>
      <c r="F485" s="27"/>
      <c r="G485" s="27"/>
      <c r="H485" s="11"/>
      <c r="I485" s="11"/>
      <c r="J485" s="12"/>
      <c r="K485" s="12"/>
      <c r="L485" s="28" t="str">
        <f aca="false">IF(AND(ISNUMBER(J485),ISNUMBER(K485),N(J485)&gt;0),1-K485/J485,"")</f>
        <v/>
      </c>
      <c r="M485" s="29"/>
      <c r="N485" s="30"/>
      <c r="O485" s="30"/>
      <c r="P485" s="11"/>
      <c r="Q485" s="31"/>
      <c r="R485" s="11"/>
      <c r="S485" s="11"/>
      <c r="T485" s="11"/>
      <c r="U485" s="32" t="str">
        <f aca="false">IF((LEN(A485)+LEN(B485)+LEN(C485)+LEN(D485)+LEN(E485)+LEN(F485)+LEN(G485)+LEN(H485)+LEN(I485)+LEN(J485)+LEN(K485)+LEN(M485)+LEN(N485)+LEN(O485)+LEN(P485)+LEN(Q485)+LEN(R485)+LEN(S485)+LEN(T485))=0,"",IF(OR(A485="",B485="",C485="",D485="",E485="",J485="",K485="",N485=""),"⚠ Champ obligatoire manquant",IF(AND(ISNUMBER(K485),ISNUMBER(J485),N(K485)&gt;N(J485)),"⚠ Prix Autopiec &gt; prix public",IF(COUNTIFS($A$2:$A$1001,A485,$B$2:$B$1001,B485)&gt;1,"⚠ Référence en double","✔ OK"))))</f>
        <v/>
      </c>
    </row>
    <row r="486" customFormat="false" ht="15" hidden="false" customHeight="false" outlineLevel="0" collapsed="false">
      <c r="A486" s="11"/>
      <c r="B486" s="27"/>
      <c r="C486" s="11"/>
      <c r="D486" s="11"/>
      <c r="E486" s="11"/>
      <c r="F486" s="27"/>
      <c r="G486" s="27"/>
      <c r="H486" s="11"/>
      <c r="I486" s="11"/>
      <c r="J486" s="12"/>
      <c r="K486" s="12"/>
      <c r="L486" s="28" t="str">
        <f aca="false">IF(AND(ISNUMBER(J486),ISNUMBER(K486),N(J486)&gt;0),1-K486/J486,"")</f>
        <v/>
      </c>
      <c r="M486" s="29"/>
      <c r="N486" s="30"/>
      <c r="O486" s="30"/>
      <c r="P486" s="11"/>
      <c r="Q486" s="31"/>
      <c r="R486" s="11"/>
      <c r="S486" s="11"/>
      <c r="T486" s="11"/>
      <c r="U486" s="32" t="str">
        <f aca="false">IF((LEN(A486)+LEN(B486)+LEN(C486)+LEN(D486)+LEN(E486)+LEN(F486)+LEN(G486)+LEN(H486)+LEN(I486)+LEN(J486)+LEN(K486)+LEN(M486)+LEN(N486)+LEN(O486)+LEN(P486)+LEN(Q486)+LEN(R486)+LEN(S486)+LEN(T486))=0,"",IF(OR(A486="",B486="",C486="",D486="",E486="",J486="",K486="",N486=""),"⚠ Champ obligatoire manquant",IF(AND(ISNUMBER(K486),ISNUMBER(J486),N(K486)&gt;N(J486)),"⚠ Prix Autopiec &gt; prix public",IF(COUNTIFS($A$2:$A$1001,A486,$B$2:$B$1001,B486)&gt;1,"⚠ Référence en double","✔ OK"))))</f>
        <v/>
      </c>
    </row>
    <row r="487" customFormat="false" ht="15" hidden="false" customHeight="false" outlineLevel="0" collapsed="false">
      <c r="A487" s="11"/>
      <c r="B487" s="27"/>
      <c r="C487" s="11"/>
      <c r="D487" s="11"/>
      <c r="E487" s="11"/>
      <c r="F487" s="27"/>
      <c r="G487" s="27"/>
      <c r="H487" s="11"/>
      <c r="I487" s="11"/>
      <c r="J487" s="12"/>
      <c r="K487" s="12"/>
      <c r="L487" s="28" t="str">
        <f aca="false">IF(AND(ISNUMBER(J487),ISNUMBER(K487),N(J487)&gt;0),1-K487/J487,"")</f>
        <v/>
      </c>
      <c r="M487" s="29"/>
      <c r="N487" s="30"/>
      <c r="O487" s="30"/>
      <c r="P487" s="11"/>
      <c r="Q487" s="31"/>
      <c r="R487" s="11"/>
      <c r="S487" s="11"/>
      <c r="T487" s="11"/>
      <c r="U487" s="32" t="str">
        <f aca="false">IF((LEN(A487)+LEN(B487)+LEN(C487)+LEN(D487)+LEN(E487)+LEN(F487)+LEN(G487)+LEN(H487)+LEN(I487)+LEN(J487)+LEN(K487)+LEN(M487)+LEN(N487)+LEN(O487)+LEN(P487)+LEN(Q487)+LEN(R487)+LEN(S487)+LEN(T487))=0,"",IF(OR(A487="",B487="",C487="",D487="",E487="",J487="",K487="",N487=""),"⚠ Champ obligatoire manquant",IF(AND(ISNUMBER(K487),ISNUMBER(J487),N(K487)&gt;N(J487)),"⚠ Prix Autopiec &gt; prix public",IF(COUNTIFS($A$2:$A$1001,A487,$B$2:$B$1001,B487)&gt;1,"⚠ Référence en double","✔ OK"))))</f>
        <v/>
      </c>
    </row>
    <row r="488" customFormat="false" ht="15" hidden="false" customHeight="false" outlineLevel="0" collapsed="false">
      <c r="A488" s="11"/>
      <c r="B488" s="27"/>
      <c r="C488" s="11"/>
      <c r="D488" s="11"/>
      <c r="E488" s="11"/>
      <c r="F488" s="27"/>
      <c r="G488" s="27"/>
      <c r="H488" s="11"/>
      <c r="I488" s="11"/>
      <c r="J488" s="12"/>
      <c r="K488" s="12"/>
      <c r="L488" s="28" t="str">
        <f aca="false">IF(AND(ISNUMBER(J488),ISNUMBER(K488),N(J488)&gt;0),1-K488/J488,"")</f>
        <v/>
      </c>
      <c r="M488" s="29"/>
      <c r="N488" s="30"/>
      <c r="O488" s="30"/>
      <c r="P488" s="11"/>
      <c r="Q488" s="31"/>
      <c r="R488" s="11"/>
      <c r="S488" s="11"/>
      <c r="T488" s="11"/>
      <c r="U488" s="32" t="str">
        <f aca="false">IF((LEN(A488)+LEN(B488)+LEN(C488)+LEN(D488)+LEN(E488)+LEN(F488)+LEN(G488)+LEN(H488)+LEN(I488)+LEN(J488)+LEN(K488)+LEN(M488)+LEN(N488)+LEN(O488)+LEN(P488)+LEN(Q488)+LEN(R488)+LEN(S488)+LEN(T488))=0,"",IF(OR(A488="",B488="",C488="",D488="",E488="",J488="",K488="",N488=""),"⚠ Champ obligatoire manquant",IF(AND(ISNUMBER(K488),ISNUMBER(J488),N(K488)&gt;N(J488)),"⚠ Prix Autopiec &gt; prix public",IF(COUNTIFS($A$2:$A$1001,A488,$B$2:$B$1001,B488)&gt;1,"⚠ Référence en double","✔ OK"))))</f>
        <v/>
      </c>
    </row>
    <row r="489" customFormat="false" ht="15" hidden="false" customHeight="false" outlineLevel="0" collapsed="false">
      <c r="A489" s="11"/>
      <c r="B489" s="27"/>
      <c r="C489" s="11"/>
      <c r="D489" s="11"/>
      <c r="E489" s="11"/>
      <c r="F489" s="27"/>
      <c r="G489" s="27"/>
      <c r="H489" s="11"/>
      <c r="I489" s="11"/>
      <c r="J489" s="12"/>
      <c r="K489" s="12"/>
      <c r="L489" s="28" t="str">
        <f aca="false">IF(AND(ISNUMBER(J489),ISNUMBER(K489),N(J489)&gt;0),1-K489/J489,"")</f>
        <v/>
      </c>
      <c r="M489" s="29"/>
      <c r="N489" s="30"/>
      <c r="O489" s="30"/>
      <c r="P489" s="11"/>
      <c r="Q489" s="31"/>
      <c r="R489" s="11"/>
      <c r="S489" s="11"/>
      <c r="T489" s="11"/>
      <c r="U489" s="32" t="str">
        <f aca="false">IF((LEN(A489)+LEN(B489)+LEN(C489)+LEN(D489)+LEN(E489)+LEN(F489)+LEN(G489)+LEN(H489)+LEN(I489)+LEN(J489)+LEN(K489)+LEN(M489)+LEN(N489)+LEN(O489)+LEN(P489)+LEN(Q489)+LEN(R489)+LEN(S489)+LEN(T489))=0,"",IF(OR(A489="",B489="",C489="",D489="",E489="",J489="",K489="",N489=""),"⚠ Champ obligatoire manquant",IF(AND(ISNUMBER(K489),ISNUMBER(J489),N(K489)&gt;N(J489)),"⚠ Prix Autopiec &gt; prix public",IF(COUNTIFS($A$2:$A$1001,A489,$B$2:$B$1001,B489)&gt;1,"⚠ Référence en double","✔ OK"))))</f>
        <v/>
      </c>
    </row>
    <row r="490" customFormat="false" ht="15" hidden="false" customHeight="false" outlineLevel="0" collapsed="false">
      <c r="A490" s="11"/>
      <c r="B490" s="27"/>
      <c r="C490" s="11"/>
      <c r="D490" s="11"/>
      <c r="E490" s="11"/>
      <c r="F490" s="27"/>
      <c r="G490" s="27"/>
      <c r="H490" s="11"/>
      <c r="I490" s="11"/>
      <c r="J490" s="12"/>
      <c r="K490" s="12"/>
      <c r="L490" s="28" t="str">
        <f aca="false">IF(AND(ISNUMBER(J490),ISNUMBER(K490),N(J490)&gt;0),1-K490/J490,"")</f>
        <v/>
      </c>
      <c r="M490" s="29"/>
      <c r="N490" s="30"/>
      <c r="O490" s="30"/>
      <c r="P490" s="11"/>
      <c r="Q490" s="31"/>
      <c r="R490" s="11"/>
      <c r="S490" s="11"/>
      <c r="T490" s="11"/>
      <c r="U490" s="32" t="str">
        <f aca="false">IF((LEN(A490)+LEN(B490)+LEN(C490)+LEN(D490)+LEN(E490)+LEN(F490)+LEN(G490)+LEN(H490)+LEN(I490)+LEN(J490)+LEN(K490)+LEN(M490)+LEN(N490)+LEN(O490)+LEN(P490)+LEN(Q490)+LEN(R490)+LEN(S490)+LEN(T490))=0,"",IF(OR(A490="",B490="",C490="",D490="",E490="",J490="",K490="",N490=""),"⚠ Champ obligatoire manquant",IF(AND(ISNUMBER(K490),ISNUMBER(J490),N(K490)&gt;N(J490)),"⚠ Prix Autopiec &gt; prix public",IF(COUNTIFS($A$2:$A$1001,A490,$B$2:$B$1001,B490)&gt;1,"⚠ Référence en double","✔ OK"))))</f>
        <v/>
      </c>
    </row>
    <row r="491" customFormat="false" ht="15" hidden="false" customHeight="false" outlineLevel="0" collapsed="false">
      <c r="A491" s="11"/>
      <c r="B491" s="27"/>
      <c r="C491" s="11"/>
      <c r="D491" s="11"/>
      <c r="E491" s="11"/>
      <c r="F491" s="27"/>
      <c r="G491" s="27"/>
      <c r="H491" s="11"/>
      <c r="I491" s="11"/>
      <c r="J491" s="12"/>
      <c r="K491" s="12"/>
      <c r="L491" s="28" t="str">
        <f aca="false">IF(AND(ISNUMBER(J491),ISNUMBER(K491),N(J491)&gt;0),1-K491/J491,"")</f>
        <v/>
      </c>
      <c r="M491" s="29"/>
      <c r="N491" s="30"/>
      <c r="O491" s="30"/>
      <c r="P491" s="11"/>
      <c r="Q491" s="31"/>
      <c r="R491" s="11"/>
      <c r="S491" s="11"/>
      <c r="T491" s="11"/>
      <c r="U491" s="32" t="str">
        <f aca="false">IF((LEN(A491)+LEN(B491)+LEN(C491)+LEN(D491)+LEN(E491)+LEN(F491)+LEN(G491)+LEN(H491)+LEN(I491)+LEN(J491)+LEN(K491)+LEN(M491)+LEN(N491)+LEN(O491)+LEN(P491)+LEN(Q491)+LEN(R491)+LEN(S491)+LEN(T491))=0,"",IF(OR(A491="",B491="",C491="",D491="",E491="",J491="",K491="",N491=""),"⚠ Champ obligatoire manquant",IF(AND(ISNUMBER(K491),ISNUMBER(J491),N(K491)&gt;N(J491)),"⚠ Prix Autopiec &gt; prix public",IF(COUNTIFS($A$2:$A$1001,A491,$B$2:$B$1001,B491)&gt;1,"⚠ Référence en double","✔ OK"))))</f>
        <v/>
      </c>
    </row>
    <row r="492" customFormat="false" ht="15" hidden="false" customHeight="false" outlineLevel="0" collapsed="false">
      <c r="A492" s="11"/>
      <c r="B492" s="27"/>
      <c r="C492" s="11"/>
      <c r="D492" s="11"/>
      <c r="E492" s="11"/>
      <c r="F492" s="27"/>
      <c r="G492" s="27"/>
      <c r="H492" s="11"/>
      <c r="I492" s="11"/>
      <c r="J492" s="12"/>
      <c r="K492" s="12"/>
      <c r="L492" s="28" t="str">
        <f aca="false">IF(AND(ISNUMBER(J492),ISNUMBER(K492),N(J492)&gt;0),1-K492/J492,"")</f>
        <v/>
      </c>
      <c r="M492" s="29"/>
      <c r="N492" s="30"/>
      <c r="O492" s="30"/>
      <c r="P492" s="11"/>
      <c r="Q492" s="31"/>
      <c r="R492" s="11"/>
      <c r="S492" s="11"/>
      <c r="T492" s="11"/>
      <c r="U492" s="32" t="str">
        <f aca="false">IF((LEN(A492)+LEN(B492)+LEN(C492)+LEN(D492)+LEN(E492)+LEN(F492)+LEN(G492)+LEN(H492)+LEN(I492)+LEN(J492)+LEN(K492)+LEN(M492)+LEN(N492)+LEN(O492)+LEN(P492)+LEN(Q492)+LEN(R492)+LEN(S492)+LEN(T492))=0,"",IF(OR(A492="",B492="",C492="",D492="",E492="",J492="",K492="",N492=""),"⚠ Champ obligatoire manquant",IF(AND(ISNUMBER(K492),ISNUMBER(J492),N(K492)&gt;N(J492)),"⚠ Prix Autopiec &gt; prix public",IF(COUNTIFS($A$2:$A$1001,A492,$B$2:$B$1001,B492)&gt;1,"⚠ Référence en double","✔ OK"))))</f>
        <v/>
      </c>
    </row>
    <row r="493" customFormat="false" ht="15" hidden="false" customHeight="false" outlineLevel="0" collapsed="false">
      <c r="A493" s="11"/>
      <c r="B493" s="27"/>
      <c r="C493" s="11"/>
      <c r="D493" s="11"/>
      <c r="E493" s="11"/>
      <c r="F493" s="27"/>
      <c r="G493" s="27"/>
      <c r="H493" s="11"/>
      <c r="I493" s="11"/>
      <c r="J493" s="12"/>
      <c r="K493" s="12"/>
      <c r="L493" s="28" t="str">
        <f aca="false">IF(AND(ISNUMBER(J493),ISNUMBER(K493),N(J493)&gt;0),1-K493/J493,"")</f>
        <v/>
      </c>
      <c r="M493" s="29"/>
      <c r="N493" s="30"/>
      <c r="O493" s="30"/>
      <c r="P493" s="11"/>
      <c r="Q493" s="31"/>
      <c r="R493" s="11"/>
      <c r="S493" s="11"/>
      <c r="T493" s="11"/>
      <c r="U493" s="32" t="str">
        <f aca="false">IF((LEN(A493)+LEN(B493)+LEN(C493)+LEN(D493)+LEN(E493)+LEN(F493)+LEN(G493)+LEN(H493)+LEN(I493)+LEN(J493)+LEN(K493)+LEN(M493)+LEN(N493)+LEN(O493)+LEN(P493)+LEN(Q493)+LEN(R493)+LEN(S493)+LEN(T493))=0,"",IF(OR(A493="",B493="",C493="",D493="",E493="",J493="",K493="",N493=""),"⚠ Champ obligatoire manquant",IF(AND(ISNUMBER(K493),ISNUMBER(J493),N(K493)&gt;N(J493)),"⚠ Prix Autopiec &gt; prix public",IF(COUNTIFS($A$2:$A$1001,A493,$B$2:$B$1001,B493)&gt;1,"⚠ Référence en double","✔ OK"))))</f>
        <v/>
      </c>
    </row>
    <row r="494" customFormat="false" ht="15" hidden="false" customHeight="false" outlineLevel="0" collapsed="false">
      <c r="A494" s="11"/>
      <c r="B494" s="27"/>
      <c r="C494" s="11"/>
      <c r="D494" s="11"/>
      <c r="E494" s="11"/>
      <c r="F494" s="27"/>
      <c r="G494" s="27"/>
      <c r="H494" s="11"/>
      <c r="I494" s="11"/>
      <c r="J494" s="12"/>
      <c r="K494" s="12"/>
      <c r="L494" s="28" t="str">
        <f aca="false">IF(AND(ISNUMBER(J494),ISNUMBER(K494),N(J494)&gt;0),1-K494/J494,"")</f>
        <v/>
      </c>
      <c r="M494" s="29"/>
      <c r="N494" s="30"/>
      <c r="O494" s="30"/>
      <c r="P494" s="11"/>
      <c r="Q494" s="31"/>
      <c r="R494" s="11"/>
      <c r="S494" s="11"/>
      <c r="T494" s="11"/>
      <c r="U494" s="32" t="str">
        <f aca="false">IF((LEN(A494)+LEN(B494)+LEN(C494)+LEN(D494)+LEN(E494)+LEN(F494)+LEN(G494)+LEN(H494)+LEN(I494)+LEN(J494)+LEN(K494)+LEN(M494)+LEN(N494)+LEN(O494)+LEN(P494)+LEN(Q494)+LEN(R494)+LEN(S494)+LEN(T494))=0,"",IF(OR(A494="",B494="",C494="",D494="",E494="",J494="",K494="",N494=""),"⚠ Champ obligatoire manquant",IF(AND(ISNUMBER(K494),ISNUMBER(J494),N(K494)&gt;N(J494)),"⚠ Prix Autopiec &gt; prix public",IF(COUNTIFS($A$2:$A$1001,A494,$B$2:$B$1001,B494)&gt;1,"⚠ Référence en double","✔ OK"))))</f>
        <v/>
      </c>
    </row>
    <row r="495" customFormat="false" ht="15" hidden="false" customHeight="false" outlineLevel="0" collapsed="false">
      <c r="A495" s="11"/>
      <c r="B495" s="27"/>
      <c r="C495" s="11"/>
      <c r="D495" s="11"/>
      <c r="E495" s="11"/>
      <c r="F495" s="27"/>
      <c r="G495" s="27"/>
      <c r="H495" s="11"/>
      <c r="I495" s="11"/>
      <c r="J495" s="12"/>
      <c r="K495" s="12"/>
      <c r="L495" s="28" t="str">
        <f aca="false">IF(AND(ISNUMBER(J495),ISNUMBER(K495),N(J495)&gt;0),1-K495/J495,"")</f>
        <v/>
      </c>
      <c r="M495" s="29"/>
      <c r="N495" s="30"/>
      <c r="O495" s="30"/>
      <c r="P495" s="11"/>
      <c r="Q495" s="31"/>
      <c r="R495" s="11"/>
      <c r="S495" s="11"/>
      <c r="T495" s="11"/>
      <c r="U495" s="32" t="str">
        <f aca="false">IF((LEN(A495)+LEN(B495)+LEN(C495)+LEN(D495)+LEN(E495)+LEN(F495)+LEN(G495)+LEN(H495)+LEN(I495)+LEN(J495)+LEN(K495)+LEN(M495)+LEN(N495)+LEN(O495)+LEN(P495)+LEN(Q495)+LEN(R495)+LEN(S495)+LEN(T495))=0,"",IF(OR(A495="",B495="",C495="",D495="",E495="",J495="",K495="",N495=""),"⚠ Champ obligatoire manquant",IF(AND(ISNUMBER(K495),ISNUMBER(J495),N(K495)&gt;N(J495)),"⚠ Prix Autopiec &gt; prix public",IF(COUNTIFS($A$2:$A$1001,A495,$B$2:$B$1001,B495)&gt;1,"⚠ Référence en double","✔ OK"))))</f>
        <v/>
      </c>
    </row>
    <row r="496" customFormat="false" ht="15" hidden="false" customHeight="false" outlineLevel="0" collapsed="false">
      <c r="A496" s="11"/>
      <c r="B496" s="27"/>
      <c r="C496" s="11"/>
      <c r="D496" s="11"/>
      <c r="E496" s="11"/>
      <c r="F496" s="27"/>
      <c r="G496" s="27"/>
      <c r="H496" s="11"/>
      <c r="I496" s="11"/>
      <c r="J496" s="12"/>
      <c r="K496" s="12"/>
      <c r="L496" s="28" t="str">
        <f aca="false">IF(AND(ISNUMBER(J496),ISNUMBER(K496),N(J496)&gt;0),1-K496/J496,"")</f>
        <v/>
      </c>
      <c r="M496" s="29"/>
      <c r="N496" s="30"/>
      <c r="O496" s="30"/>
      <c r="P496" s="11"/>
      <c r="Q496" s="31"/>
      <c r="R496" s="11"/>
      <c r="S496" s="11"/>
      <c r="T496" s="11"/>
      <c r="U496" s="32" t="str">
        <f aca="false">IF((LEN(A496)+LEN(B496)+LEN(C496)+LEN(D496)+LEN(E496)+LEN(F496)+LEN(G496)+LEN(H496)+LEN(I496)+LEN(J496)+LEN(K496)+LEN(M496)+LEN(N496)+LEN(O496)+LEN(P496)+LEN(Q496)+LEN(R496)+LEN(S496)+LEN(T496))=0,"",IF(OR(A496="",B496="",C496="",D496="",E496="",J496="",K496="",N496=""),"⚠ Champ obligatoire manquant",IF(AND(ISNUMBER(K496),ISNUMBER(J496),N(K496)&gt;N(J496)),"⚠ Prix Autopiec &gt; prix public",IF(COUNTIFS($A$2:$A$1001,A496,$B$2:$B$1001,B496)&gt;1,"⚠ Référence en double","✔ OK"))))</f>
        <v/>
      </c>
    </row>
    <row r="497" customFormat="false" ht="15" hidden="false" customHeight="false" outlineLevel="0" collapsed="false">
      <c r="A497" s="11"/>
      <c r="B497" s="27"/>
      <c r="C497" s="11"/>
      <c r="D497" s="11"/>
      <c r="E497" s="11"/>
      <c r="F497" s="27"/>
      <c r="G497" s="27"/>
      <c r="H497" s="11"/>
      <c r="I497" s="11"/>
      <c r="J497" s="12"/>
      <c r="K497" s="12"/>
      <c r="L497" s="28" t="str">
        <f aca="false">IF(AND(ISNUMBER(J497),ISNUMBER(K497),N(J497)&gt;0),1-K497/J497,"")</f>
        <v/>
      </c>
      <c r="M497" s="29"/>
      <c r="N497" s="30"/>
      <c r="O497" s="30"/>
      <c r="P497" s="11"/>
      <c r="Q497" s="31"/>
      <c r="R497" s="11"/>
      <c r="S497" s="11"/>
      <c r="T497" s="11"/>
      <c r="U497" s="32" t="str">
        <f aca="false">IF((LEN(A497)+LEN(B497)+LEN(C497)+LEN(D497)+LEN(E497)+LEN(F497)+LEN(G497)+LEN(H497)+LEN(I497)+LEN(J497)+LEN(K497)+LEN(M497)+LEN(N497)+LEN(O497)+LEN(P497)+LEN(Q497)+LEN(R497)+LEN(S497)+LEN(T497))=0,"",IF(OR(A497="",B497="",C497="",D497="",E497="",J497="",K497="",N497=""),"⚠ Champ obligatoire manquant",IF(AND(ISNUMBER(K497),ISNUMBER(J497),N(K497)&gt;N(J497)),"⚠ Prix Autopiec &gt; prix public",IF(COUNTIFS($A$2:$A$1001,A497,$B$2:$B$1001,B497)&gt;1,"⚠ Référence en double","✔ OK"))))</f>
        <v/>
      </c>
    </row>
    <row r="498" customFormat="false" ht="15" hidden="false" customHeight="false" outlineLevel="0" collapsed="false">
      <c r="A498" s="11"/>
      <c r="B498" s="27"/>
      <c r="C498" s="11"/>
      <c r="D498" s="11"/>
      <c r="E498" s="11"/>
      <c r="F498" s="27"/>
      <c r="G498" s="27"/>
      <c r="H498" s="11"/>
      <c r="I498" s="11"/>
      <c r="J498" s="12"/>
      <c r="K498" s="12"/>
      <c r="L498" s="28" t="str">
        <f aca="false">IF(AND(ISNUMBER(J498),ISNUMBER(K498),N(J498)&gt;0),1-K498/J498,"")</f>
        <v/>
      </c>
      <c r="M498" s="29"/>
      <c r="N498" s="30"/>
      <c r="O498" s="30"/>
      <c r="P498" s="11"/>
      <c r="Q498" s="31"/>
      <c r="R498" s="11"/>
      <c r="S498" s="11"/>
      <c r="T498" s="11"/>
      <c r="U498" s="32" t="str">
        <f aca="false">IF((LEN(A498)+LEN(B498)+LEN(C498)+LEN(D498)+LEN(E498)+LEN(F498)+LEN(G498)+LEN(H498)+LEN(I498)+LEN(J498)+LEN(K498)+LEN(M498)+LEN(N498)+LEN(O498)+LEN(P498)+LEN(Q498)+LEN(R498)+LEN(S498)+LEN(T498))=0,"",IF(OR(A498="",B498="",C498="",D498="",E498="",J498="",K498="",N498=""),"⚠ Champ obligatoire manquant",IF(AND(ISNUMBER(K498),ISNUMBER(J498),N(K498)&gt;N(J498)),"⚠ Prix Autopiec &gt; prix public",IF(COUNTIFS($A$2:$A$1001,A498,$B$2:$B$1001,B498)&gt;1,"⚠ Référence en double","✔ OK"))))</f>
        <v/>
      </c>
    </row>
    <row r="499" customFormat="false" ht="15" hidden="false" customHeight="false" outlineLevel="0" collapsed="false">
      <c r="A499" s="11"/>
      <c r="B499" s="27"/>
      <c r="C499" s="11"/>
      <c r="D499" s="11"/>
      <c r="E499" s="11"/>
      <c r="F499" s="27"/>
      <c r="G499" s="27"/>
      <c r="H499" s="11"/>
      <c r="I499" s="11"/>
      <c r="J499" s="12"/>
      <c r="K499" s="12"/>
      <c r="L499" s="28" t="str">
        <f aca="false">IF(AND(ISNUMBER(J499),ISNUMBER(K499),N(J499)&gt;0),1-K499/J499,"")</f>
        <v/>
      </c>
      <c r="M499" s="29"/>
      <c r="N499" s="30"/>
      <c r="O499" s="30"/>
      <c r="P499" s="11"/>
      <c r="Q499" s="31"/>
      <c r="R499" s="11"/>
      <c r="S499" s="11"/>
      <c r="T499" s="11"/>
      <c r="U499" s="32" t="str">
        <f aca="false">IF((LEN(A499)+LEN(B499)+LEN(C499)+LEN(D499)+LEN(E499)+LEN(F499)+LEN(G499)+LEN(H499)+LEN(I499)+LEN(J499)+LEN(K499)+LEN(M499)+LEN(N499)+LEN(O499)+LEN(P499)+LEN(Q499)+LEN(R499)+LEN(S499)+LEN(T499))=0,"",IF(OR(A499="",B499="",C499="",D499="",E499="",J499="",K499="",N499=""),"⚠ Champ obligatoire manquant",IF(AND(ISNUMBER(K499),ISNUMBER(J499),N(K499)&gt;N(J499)),"⚠ Prix Autopiec &gt; prix public",IF(COUNTIFS($A$2:$A$1001,A499,$B$2:$B$1001,B499)&gt;1,"⚠ Référence en double","✔ OK"))))</f>
        <v/>
      </c>
    </row>
    <row r="500" customFormat="false" ht="15" hidden="false" customHeight="false" outlineLevel="0" collapsed="false">
      <c r="A500" s="11"/>
      <c r="B500" s="27"/>
      <c r="C500" s="11"/>
      <c r="D500" s="11"/>
      <c r="E500" s="11"/>
      <c r="F500" s="27"/>
      <c r="G500" s="27"/>
      <c r="H500" s="11"/>
      <c r="I500" s="11"/>
      <c r="J500" s="12"/>
      <c r="K500" s="12"/>
      <c r="L500" s="28" t="str">
        <f aca="false">IF(AND(ISNUMBER(J500),ISNUMBER(K500),N(J500)&gt;0),1-K500/J500,"")</f>
        <v/>
      </c>
      <c r="M500" s="29"/>
      <c r="N500" s="30"/>
      <c r="O500" s="30"/>
      <c r="P500" s="11"/>
      <c r="Q500" s="31"/>
      <c r="R500" s="11"/>
      <c r="S500" s="11"/>
      <c r="T500" s="11"/>
      <c r="U500" s="32" t="str">
        <f aca="false">IF((LEN(A500)+LEN(B500)+LEN(C500)+LEN(D500)+LEN(E500)+LEN(F500)+LEN(G500)+LEN(H500)+LEN(I500)+LEN(J500)+LEN(K500)+LEN(M500)+LEN(N500)+LEN(O500)+LEN(P500)+LEN(Q500)+LEN(R500)+LEN(S500)+LEN(T500))=0,"",IF(OR(A500="",B500="",C500="",D500="",E500="",J500="",K500="",N500=""),"⚠ Champ obligatoire manquant",IF(AND(ISNUMBER(K500),ISNUMBER(J500),N(K500)&gt;N(J500)),"⚠ Prix Autopiec &gt; prix public",IF(COUNTIFS($A$2:$A$1001,A500,$B$2:$B$1001,B500)&gt;1,"⚠ Référence en double","✔ OK"))))</f>
        <v/>
      </c>
    </row>
    <row r="501" customFormat="false" ht="15" hidden="false" customHeight="false" outlineLevel="0" collapsed="false">
      <c r="A501" s="11"/>
      <c r="B501" s="27"/>
      <c r="C501" s="11"/>
      <c r="D501" s="11"/>
      <c r="E501" s="11"/>
      <c r="F501" s="27"/>
      <c r="G501" s="27"/>
      <c r="H501" s="11"/>
      <c r="I501" s="11"/>
      <c r="J501" s="12"/>
      <c r="K501" s="12"/>
      <c r="L501" s="28" t="str">
        <f aca="false">IF(AND(ISNUMBER(J501),ISNUMBER(K501),N(J501)&gt;0),1-K501/J501,"")</f>
        <v/>
      </c>
      <c r="M501" s="29"/>
      <c r="N501" s="30"/>
      <c r="O501" s="30"/>
      <c r="P501" s="11"/>
      <c r="Q501" s="31"/>
      <c r="R501" s="11"/>
      <c r="S501" s="11"/>
      <c r="T501" s="11"/>
      <c r="U501" s="32" t="str">
        <f aca="false">IF((LEN(A501)+LEN(B501)+LEN(C501)+LEN(D501)+LEN(E501)+LEN(F501)+LEN(G501)+LEN(H501)+LEN(I501)+LEN(J501)+LEN(K501)+LEN(M501)+LEN(N501)+LEN(O501)+LEN(P501)+LEN(Q501)+LEN(R501)+LEN(S501)+LEN(T501))=0,"",IF(OR(A501="",B501="",C501="",D501="",E501="",J501="",K501="",N501=""),"⚠ Champ obligatoire manquant",IF(AND(ISNUMBER(K501),ISNUMBER(J501),N(K501)&gt;N(J501)),"⚠ Prix Autopiec &gt; prix public",IF(COUNTIFS($A$2:$A$1001,A501,$B$2:$B$1001,B501)&gt;1,"⚠ Référence en double","✔ OK"))))</f>
        <v/>
      </c>
    </row>
    <row r="502" customFormat="false" ht="15" hidden="false" customHeight="false" outlineLevel="0" collapsed="false">
      <c r="A502" s="11"/>
      <c r="B502" s="27"/>
      <c r="C502" s="11"/>
      <c r="D502" s="11"/>
      <c r="E502" s="11"/>
      <c r="F502" s="27"/>
      <c r="G502" s="27"/>
      <c r="H502" s="11"/>
      <c r="I502" s="11"/>
      <c r="J502" s="12"/>
      <c r="K502" s="12"/>
      <c r="L502" s="28" t="str">
        <f aca="false">IF(AND(ISNUMBER(J502),ISNUMBER(K502),N(J502)&gt;0),1-K502/J502,"")</f>
        <v/>
      </c>
      <c r="M502" s="29"/>
      <c r="N502" s="30"/>
      <c r="O502" s="30"/>
      <c r="P502" s="11"/>
      <c r="Q502" s="31"/>
      <c r="R502" s="11"/>
      <c r="S502" s="11"/>
      <c r="T502" s="11"/>
      <c r="U502" s="32" t="str">
        <f aca="false">IF((LEN(A502)+LEN(B502)+LEN(C502)+LEN(D502)+LEN(E502)+LEN(F502)+LEN(G502)+LEN(H502)+LEN(I502)+LEN(J502)+LEN(K502)+LEN(M502)+LEN(N502)+LEN(O502)+LEN(P502)+LEN(Q502)+LEN(R502)+LEN(S502)+LEN(T502))=0,"",IF(OR(A502="",B502="",C502="",D502="",E502="",J502="",K502="",N502=""),"⚠ Champ obligatoire manquant",IF(AND(ISNUMBER(K502),ISNUMBER(J502),N(K502)&gt;N(J502)),"⚠ Prix Autopiec &gt; prix public",IF(COUNTIFS($A$2:$A$1001,A502,$B$2:$B$1001,B502)&gt;1,"⚠ Référence en double","✔ OK"))))</f>
        <v/>
      </c>
    </row>
    <row r="503" customFormat="false" ht="15" hidden="false" customHeight="false" outlineLevel="0" collapsed="false">
      <c r="A503" s="11"/>
      <c r="B503" s="27"/>
      <c r="C503" s="11"/>
      <c r="D503" s="11"/>
      <c r="E503" s="11"/>
      <c r="F503" s="27"/>
      <c r="G503" s="27"/>
      <c r="H503" s="11"/>
      <c r="I503" s="11"/>
      <c r="J503" s="12"/>
      <c r="K503" s="12"/>
      <c r="L503" s="28" t="str">
        <f aca="false">IF(AND(ISNUMBER(J503),ISNUMBER(K503),N(J503)&gt;0),1-K503/J503,"")</f>
        <v/>
      </c>
      <c r="M503" s="29"/>
      <c r="N503" s="30"/>
      <c r="O503" s="30"/>
      <c r="P503" s="11"/>
      <c r="Q503" s="31"/>
      <c r="R503" s="11"/>
      <c r="S503" s="11"/>
      <c r="T503" s="11"/>
      <c r="U503" s="32" t="str">
        <f aca="false">IF((LEN(A503)+LEN(B503)+LEN(C503)+LEN(D503)+LEN(E503)+LEN(F503)+LEN(G503)+LEN(H503)+LEN(I503)+LEN(J503)+LEN(K503)+LEN(M503)+LEN(N503)+LEN(O503)+LEN(P503)+LEN(Q503)+LEN(R503)+LEN(S503)+LEN(T503))=0,"",IF(OR(A503="",B503="",C503="",D503="",E503="",J503="",K503="",N503=""),"⚠ Champ obligatoire manquant",IF(AND(ISNUMBER(K503),ISNUMBER(J503),N(K503)&gt;N(J503)),"⚠ Prix Autopiec &gt; prix public",IF(COUNTIFS($A$2:$A$1001,A503,$B$2:$B$1001,B503)&gt;1,"⚠ Référence en double","✔ OK"))))</f>
        <v/>
      </c>
    </row>
    <row r="504" customFormat="false" ht="15" hidden="false" customHeight="false" outlineLevel="0" collapsed="false">
      <c r="A504" s="11"/>
      <c r="B504" s="27"/>
      <c r="C504" s="11"/>
      <c r="D504" s="11"/>
      <c r="E504" s="11"/>
      <c r="F504" s="27"/>
      <c r="G504" s="27"/>
      <c r="H504" s="11"/>
      <c r="I504" s="11"/>
      <c r="J504" s="12"/>
      <c r="K504" s="12"/>
      <c r="L504" s="28" t="str">
        <f aca="false">IF(AND(ISNUMBER(J504),ISNUMBER(K504),N(J504)&gt;0),1-K504/J504,"")</f>
        <v/>
      </c>
      <c r="M504" s="29"/>
      <c r="N504" s="30"/>
      <c r="O504" s="30"/>
      <c r="P504" s="11"/>
      <c r="Q504" s="31"/>
      <c r="R504" s="11"/>
      <c r="S504" s="11"/>
      <c r="T504" s="11"/>
      <c r="U504" s="32" t="str">
        <f aca="false">IF((LEN(A504)+LEN(B504)+LEN(C504)+LEN(D504)+LEN(E504)+LEN(F504)+LEN(G504)+LEN(H504)+LEN(I504)+LEN(J504)+LEN(K504)+LEN(M504)+LEN(N504)+LEN(O504)+LEN(P504)+LEN(Q504)+LEN(R504)+LEN(S504)+LEN(T504))=0,"",IF(OR(A504="",B504="",C504="",D504="",E504="",J504="",K504="",N504=""),"⚠ Champ obligatoire manquant",IF(AND(ISNUMBER(K504),ISNUMBER(J504),N(K504)&gt;N(J504)),"⚠ Prix Autopiec &gt; prix public",IF(COUNTIFS($A$2:$A$1001,A504,$B$2:$B$1001,B504)&gt;1,"⚠ Référence en double","✔ OK"))))</f>
        <v/>
      </c>
    </row>
    <row r="505" customFormat="false" ht="15" hidden="false" customHeight="false" outlineLevel="0" collapsed="false">
      <c r="A505" s="11"/>
      <c r="B505" s="27"/>
      <c r="C505" s="11"/>
      <c r="D505" s="11"/>
      <c r="E505" s="11"/>
      <c r="F505" s="27"/>
      <c r="G505" s="27"/>
      <c r="H505" s="11"/>
      <c r="I505" s="11"/>
      <c r="J505" s="12"/>
      <c r="K505" s="12"/>
      <c r="L505" s="28" t="str">
        <f aca="false">IF(AND(ISNUMBER(J505),ISNUMBER(K505),N(J505)&gt;0),1-K505/J505,"")</f>
        <v/>
      </c>
      <c r="M505" s="29"/>
      <c r="N505" s="30"/>
      <c r="O505" s="30"/>
      <c r="P505" s="11"/>
      <c r="Q505" s="31"/>
      <c r="R505" s="11"/>
      <c r="S505" s="11"/>
      <c r="T505" s="11"/>
      <c r="U505" s="32" t="str">
        <f aca="false">IF((LEN(A505)+LEN(B505)+LEN(C505)+LEN(D505)+LEN(E505)+LEN(F505)+LEN(G505)+LEN(H505)+LEN(I505)+LEN(J505)+LEN(K505)+LEN(M505)+LEN(N505)+LEN(O505)+LEN(P505)+LEN(Q505)+LEN(R505)+LEN(S505)+LEN(T505))=0,"",IF(OR(A505="",B505="",C505="",D505="",E505="",J505="",K505="",N505=""),"⚠ Champ obligatoire manquant",IF(AND(ISNUMBER(K505),ISNUMBER(J505),N(K505)&gt;N(J505)),"⚠ Prix Autopiec &gt; prix public",IF(COUNTIFS($A$2:$A$1001,A505,$B$2:$B$1001,B505)&gt;1,"⚠ Référence en double","✔ OK"))))</f>
        <v/>
      </c>
    </row>
    <row r="506" customFormat="false" ht="15" hidden="false" customHeight="false" outlineLevel="0" collapsed="false">
      <c r="A506" s="11"/>
      <c r="B506" s="27"/>
      <c r="C506" s="11"/>
      <c r="D506" s="11"/>
      <c r="E506" s="11"/>
      <c r="F506" s="27"/>
      <c r="G506" s="27"/>
      <c r="H506" s="11"/>
      <c r="I506" s="11"/>
      <c r="J506" s="12"/>
      <c r="K506" s="12"/>
      <c r="L506" s="28" t="str">
        <f aca="false">IF(AND(ISNUMBER(J506),ISNUMBER(K506),N(J506)&gt;0),1-K506/J506,"")</f>
        <v/>
      </c>
      <c r="M506" s="29"/>
      <c r="N506" s="30"/>
      <c r="O506" s="30"/>
      <c r="P506" s="11"/>
      <c r="Q506" s="31"/>
      <c r="R506" s="11"/>
      <c r="S506" s="11"/>
      <c r="T506" s="11"/>
      <c r="U506" s="32" t="str">
        <f aca="false">IF((LEN(A506)+LEN(B506)+LEN(C506)+LEN(D506)+LEN(E506)+LEN(F506)+LEN(G506)+LEN(H506)+LEN(I506)+LEN(J506)+LEN(K506)+LEN(M506)+LEN(N506)+LEN(O506)+LEN(P506)+LEN(Q506)+LEN(R506)+LEN(S506)+LEN(T506))=0,"",IF(OR(A506="",B506="",C506="",D506="",E506="",J506="",K506="",N506=""),"⚠ Champ obligatoire manquant",IF(AND(ISNUMBER(K506),ISNUMBER(J506),N(K506)&gt;N(J506)),"⚠ Prix Autopiec &gt; prix public",IF(COUNTIFS($A$2:$A$1001,A506,$B$2:$B$1001,B506)&gt;1,"⚠ Référence en double","✔ OK"))))</f>
        <v/>
      </c>
    </row>
    <row r="507" customFormat="false" ht="15" hidden="false" customHeight="false" outlineLevel="0" collapsed="false">
      <c r="A507" s="11"/>
      <c r="B507" s="27"/>
      <c r="C507" s="11"/>
      <c r="D507" s="11"/>
      <c r="E507" s="11"/>
      <c r="F507" s="27"/>
      <c r="G507" s="27"/>
      <c r="H507" s="11"/>
      <c r="I507" s="11"/>
      <c r="J507" s="12"/>
      <c r="K507" s="12"/>
      <c r="L507" s="28" t="str">
        <f aca="false">IF(AND(ISNUMBER(J507),ISNUMBER(K507),N(J507)&gt;0),1-K507/J507,"")</f>
        <v/>
      </c>
      <c r="M507" s="29"/>
      <c r="N507" s="30"/>
      <c r="O507" s="30"/>
      <c r="P507" s="11"/>
      <c r="Q507" s="31"/>
      <c r="R507" s="11"/>
      <c r="S507" s="11"/>
      <c r="T507" s="11"/>
      <c r="U507" s="32" t="str">
        <f aca="false">IF((LEN(A507)+LEN(B507)+LEN(C507)+LEN(D507)+LEN(E507)+LEN(F507)+LEN(G507)+LEN(H507)+LEN(I507)+LEN(J507)+LEN(K507)+LEN(M507)+LEN(N507)+LEN(O507)+LEN(P507)+LEN(Q507)+LEN(R507)+LEN(S507)+LEN(T507))=0,"",IF(OR(A507="",B507="",C507="",D507="",E507="",J507="",K507="",N507=""),"⚠ Champ obligatoire manquant",IF(AND(ISNUMBER(K507),ISNUMBER(J507),N(K507)&gt;N(J507)),"⚠ Prix Autopiec &gt; prix public",IF(COUNTIFS($A$2:$A$1001,A507,$B$2:$B$1001,B507)&gt;1,"⚠ Référence en double","✔ OK"))))</f>
        <v/>
      </c>
    </row>
    <row r="508" customFormat="false" ht="15" hidden="false" customHeight="false" outlineLevel="0" collapsed="false">
      <c r="A508" s="11"/>
      <c r="B508" s="27"/>
      <c r="C508" s="11"/>
      <c r="D508" s="11"/>
      <c r="E508" s="11"/>
      <c r="F508" s="27"/>
      <c r="G508" s="27"/>
      <c r="H508" s="11"/>
      <c r="I508" s="11"/>
      <c r="J508" s="12"/>
      <c r="K508" s="12"/>
      <c r="L508" s="28" t="str">
        <f aca="false">IF(AND(ISNUMBER(J508),ISNUMBER(K508),N(J508)&gt;0),1-K508/J508,"")</f>
        <v/>
      </c>
      <c r="M508" s="29"/>
      <c r="N508" s="30"/>
      <c r="O508" s="30"/>
      <c r="P508" s="11"/>
      <c r="Q508" s="31"/>
      <c r="R508" s="11"/>
      <c r="S508" s="11"/>
      <c r="T508" s="11"/>
      <c r="U508" s="32" t="str">
        <f aca="false">IF((LEN(A508)+LEN(B508)+LEN(C508)+LEN(D508)+LEN(E508)+LEN(F508)+LEN(G508)+LEN(H508)+LEN(I508)+LEN(J508)+LEN(K508)+LEN(M508)+LEN(N508)+LEN(O508)+LEN(P508)+LEN(Q508)+LEN(R508)+LEN(S508)+LEN(T508))=0,"",IF(OR(A508="",B508="",C508="",D508="",E508="",J508="",K508="",N508=""),"⚠ Champ obligatoire manquant",IF(AND(ISNUMBER(K508),ISNUMBER(J508),N(K508)&gt;N(J508)),"⚠ Prix Autopiec &gt; prix public",IF(COUNTIFS($A$2:$A$1001,A508,$B$2:$B$1001,B508)&gt;1,"⚠ Référence en double","✔ OK"))))</f>
        <v/>
      </c>
    </row>
    <row r="509" customFormat="false" ht="15" hidden="false" customHeight="false" outlineLevel="0" collapsed="false">
      <c r="A509" s="11"/>
      <c r="B509" s="27"/>
      <c r="C509" s="11"/>
      <c r="D509" s="11"/>
      <c r="E509" s="11"/>
      <c r="F509" s="27"/>
      <c r="G509" s="27"/>
      <c r="H509" s="11"/>
      <c r="I509" s="11"/>
      <c r="J509" s="12"/>
      <c r="K509" s="12"/>
      <c r="L509" s="28" t="str">
        <f aca="false">IF(AND(ISNUMBER(J509),ISNUMBER(K509),N(J509)&gt;0),1-K509/J509,"")</f>
        <v/>
      </c>
      <c r="M509" s="29"/>
      <c r="N509" s="30"/>
      <c r="O509" s="30"/>
      <c r="P509" s="11"/>
      <c r="Q509" s="31"/>
      <c r="R509" s="11"/>
      <c r="S509" s="11"/>
      <c r="T509" s="11"/>
      <c r="U509" s="32" t="str">
        <f aca="false">IF((LEN(A509)+LEN(B509)+LEN(C509)+LEN(D509)+LEN(E509)+LEN(F509)+LEN(G509)+LEN(H509)+LEN(I509)+LEN(J509)+LEN(K509)+LEN(M509)+LEN(N509)+LEN(O509)+LEN(P509)+LEN(Q509)+LEN(R509)+LEN(S509)+LEN(T509))=0,"",IF(OR(A509="",B509="",C509="",D509="",E509="",J509="",K509="",N509=""),"⚠ Champ obligatoire manquant",IF(AND(ISNUMBER(K509),ISNUMBER(J509),N(K509)&gt;N(J509)),"⚠ Prix Autopiec &gt; prix public",IF(COUNTIFS($A$2:$A$1001,A509,$B$2:$B$1001,B509)&gt;1,"⚠ Référence en double","✔ OK"))))</f>
        <v/>
      </c>
    </row>
    <row r="510" customFormat="false" ht="15" hidden="false" customHeight="false" outlineLevel="0" collapsed="false">
      <c r="A510" s="11"/>
      <c r="B510" s="27"/>
      <c r="C510" s="11"/>
      <c r="D510" s="11"/>
      <c r="E510" s="11"/>
      <c r="F510" s="27"/>
      <c r="G510" s="27"/>
      <c r="H510" s="11"/>
      <c r="I510" s="11"/>
      <c r="J510" s="12"/>
      <c r="K510" s="12"/>
      <c r="L510" s="28" t="str">
        <f aca="false">IF(AND(ISNUMBER(J510),ISNUMBER(K510),N(J510)&gt;0),1-K510/J510,"")</f>
        <v/>
      </c>
      <c r="M510" s="29"/>
      <c r="N510" s="30"/>
      <c r="O510" s="30"/>
      <c r="P510" s="11"/>
      <c r="Q510" s="31"/>
      <c r="R510" s="11"/>
      <c r="S510" s="11"/>
      <c r="T510" s="11"/>
      <c r="U510" s="32" t="str">
        <f aca="false">IF((LEN(A510)+LEN(B510)+LEN(C510)+LEN(D510)+LEN(E510)+LEN(F510)+LEN(G510)+LEN(H510)+LEN(I510)+LEN(J510)+LEN(K510)+LEN(M510)+LEN(N510)+LEN(O510)+LEN(P510)+LEN(Q510)+LEN(R510)+LEN(S510)+LEN(T510))=0,"",IF(OR(A510="",B510="",C510="",D510="",E510="",J510="",K510="",N510=""),"⚠ Champ obligatoire manquant",IF(AND(ISNUMBER(K510),ISNUMBER(J510),N(K510)&gt;N(J510)),"⚠ Prix Autopiec &gt; prix public",IF(COUNTIFS($A$2:$A$1001,A510,$B$2:$B$1001,B510)&gt;1,"⚠ Référence en double","✔ OK"))))</f>
        <v/>
      </c>
    </row>
    <row r="511" customFormat="false" ht="15" hidden="false" customHeight="false" outlineLevel="0" collapsed="false">
      <c r="A511" s="11"/>
      <c r="B511" s="27"/>
      <c r="C511" s="11"/>
      <c r="D511" s="11"/>
      <c r="E511" s="11"/>
      <c r="F511" s="27"/>
      <c r="G511" s="27"/>
      <c r="H511" s="11"/>
      <c r="I511" s="11"/>
      <c r="J511" s="12"/>
      <c r="K511" s="12"/>
      <c r="L511" s="28" t="str">
        <f aca="false">IF(AND(ISNUMBER(J511),ISNUMBER(K511),N(J511)&gt;0),1-K511/J511,"")</f>
        <v/>
      </c>
      <c r="M511" s="29"/>
      <c r="N511" s="30"/>
      <c r="O511" s="30"/>
      <c r="P511" s="11"/>
      <c r="Q511" s="31"/>
      <c r="R511" s="11"/>
      <c r="S511" s="11"/>
      <c r="T511" s="11"/>
      <c r="U511" s="32" t="str">
        <f aca="false">IF((LEN(A511)+LEN(B511)+LEN(C511)+LEN(D511)+LEN(E511)+LEN(F511)+LEN(G511)+LEN(H511)+LEN(I511)+LEN(J511)+LEN(K511)+LEN(M511)+LEN(N511)+LEN(O511)+LEN(P511)+LEN(Q511)+LEN(R511)+LEN(S511)+LEN(T511))=0,"",IF(OR(A511="",B511="",C511="",D511="",E511="",J511="",K511="",N511=""),"⚠ Champ obligatoire manquant",IF(AND(ISNUMBER(K511),ISNUMBER(J511),N(K511)&gt;N(J511)),"⚠ Prix Autopiec &gt; prix public",IF(COUNTIFS($A$2:$A$1001,A511,$B$2:$B$1001,B511)&gt;1,"⚠ Référence en double","✔ OK"))))</f>
        <v/>
      </c>
    </row>
    <row r="512" customFormat="false" ht="15" hidden="false" customHeight="false" outlineLevel="0" collapsed="false">
      <c r="A512" s="11"/>
      <c r="B512" s="27"/>
      <c r="C512" s="11"/>
      <c r="D512" s="11"/>
      <c r="E512" s="11"/>
      <c r="F512" s="27"/>
      <c r="G512" s="27"/>
      <c r="H512" s="11"/>
      <c r="I512" s="11"/>
      <c r="J512" s="12"/>
      <c r="K512" s="12"/>
      <c r="L512" s="28" t="str">
        <f aca="false">IF(AND(ISNUMBER(J512),ISNUMBER(K512),N(J512)&gt;0),1-K512/J512,"")</f>
        <v/>
      </c>
      <c r="M512" s="29"/>
      <c r="N512" s="30"/>
      <c r="O512" s="30"/>
      <c r="P512" s="11"/>
      <c r="Q512" s="31"/>
      <c r="R512" s="11"/>
      <c r="S512" s="11"/>
      <c r="T512" s="11"/>
      <c r="U512" s="32" t="str">
        <f aca="false">IF((LEN(A512)+LEN(B512)+LEN(C512)+LEN(D512)+LEN(E512)+LEN(F512)+LEN(G512)+LEN(H512)+LEN(I512)+LEN(J512)+LEN(K512)+LEN(M512)+LEN(N512)+LEN(O512)+LEN(P512)+LEN(Q512)+LEN(R512)+LEN(S512)+LEN(T512))=0,"",IF(OR(A512="",B512="",C512="",D512="",E512="",J512="",K512="",N512=""),"⚠ Champ obligatoire manquant",IF(AND(ISNUMBER(K512),ISNUMBER(J512),N(K512)&gt;N(J512)),"⚠ Prix Autopiec &gt; prix public",IF(COUNTIFS($A$2:$A$1001,A512,$B$2:$B$1001,B512)&gt;1,"⚠ Référence en double","✔ OK"))))</f>
        <v/>
      </c>
    </row>
    <row r="513" customFormat="false" ht="15" hidden="false" customHeight="false" outlineLevel="0" collapsed="false">
      <c r="A513" s="11"/>
      <c r="B513" s="27"/>
      <c r="C513" s="11"/>
      <c r="D513" s="11"/>
      <c r="E513" s="11"/>
      <c r="F513" s="27"/>
      <c r="G513" s="27"/>
      <c r="H513" s="11"/>
      <c r="I513" s="11"/>
      <c r="J513" s="12"/>
      <c r="K513" s="12"/>
      <c r="L513" s="28" t="str">
        <f aca="false">IF(AND(ISNUMBER(J513),ISNUMBER(K513),N(J513)&gt;0),1-K513/J513,"")</f>
        <v/>
      </c>
      <c r="M513" s="29"/>
      <c r="N513" s="30"/>
      <c r="O513" s="30"/>
      <c r="P513" s="11"/>
      <c r="Q513" s="31"/>
      <c r="R513" s="11"/>
      <c r="S513" s="11"/>
      <c r="T513" s="11"/>
      <c r="U513" s="32" t="str">
        <f aca="false">IF((LEN(A513)+LEN(B513)+LEN(C513)+LEN(D513)+LEN(E513)+LEN(F513)+LEN(G513)+LEN(H513)+LEN(I513)+LEN(J513)+LEN(K513)+LEN(M513)+LEN(N513)+LEN(O513)+LEN(P513)+LEN(Q513)+LEN(R513)+LEN(S513)+LEN(T513))=0,"",IF(OR(A513="",B513="",C513="",D513="",E513="",J513="",K513="",N513=""),"⚠ Champ obligatoire manquant",IF(AND(ISNUMBER(K513),ISNUMBER(J513),N(K513)&gt;N(J513)),"⚠ Prix Autopiec &gt; prix public",IF(COUNTIFS($A$2:$A$1001,A513,$B$2:$B$1001,B513)&gt;1,"⚠ Référence en double","✔ OK"))))</f>
        <v/>
      </c>
    </row>
    <row r="514" customFormat="false" ht="15" hidden="false" customHeight="false" outlineLevel="0" collapsed="false">
      <c r="A514" s="11"/>
      <c r="B514" s="27"/>
      <c r="C514" s="11"/>
      <c r="D514" s="11"/>
      <c r="E514" s="11"/>
      <c r="F514" s="27"/>
      <c r="G514" s="27"/>
      <c r="H514" s="11"/>
      <c r="I514" s="11"/>
      <c r="J514" s="12"/>
      <c r="K514" s="12"/>
      <c r="L514" s="28" t="str">
        <f aca="false">IF(AND(ISNUMBER(J514),ISNUMBER(K514),N(J514)&gt;0),1-K514/J514,"")</f>
        <v/>
      </c>
      <c r="M514" s="29"/>
      <c r="N514" s="30"/>
      <c r="O514" s="30"/>
      <c r="P514" s="11"/>
      <c r="Q514" s="31"/>
      <c r="R514" s="11"/>
      <c r="S514" s="11"/>
      <c r="T514" s="11"/>
      <c r="U514" s="32" t="str">
        <f aca="false">IF((LEN(A514)+LEN(B514)+LEN(C514)+LEN(D514)+LEN(E514)+LEN(F514)+LEN(G514)+LEN(H514)+LEN(I514)+LEN(J514)+LEN(K514)+LEN(M514)+LEN(N514)+LEN(O514)+LEN(P514)+LEN(Q514)+LEN(R514)+LEN(S514)+LEN(T514))=0,"",IF(OR(A514="",B514="",C514="",D514="",E514="",J514="",K514="",N514=""),"⚠ Champ obligatoire manquant",IF(AND(ISNUMBER(K514),ISNUMBER(J514),N(K514)&gt;N(J514)),"⚠ Prix Autopiec &gt; prix public",IF(COUNTIFS($A$2:$A$1001,A514,$B$2:$B$1001,B514)&gt;1,"⚠ Référence en double","✔ OK"))))</f>
        <v/>
      </c>
    </row>
    <row r="515" customFormat="false" ht="15" hidden="false" customHeight="false" outlineLevel="0" collapsed="false">
      <c r="A515" s="11"/>
      <c r="B515" s="27"/>
      <c r="C515" s="11"/>
      <c r="D515" s="11"/>
      <c r="E515" s="11"/>
      <c r="F515" s="27"/>
      <c r="G515" s="27"/>
      <c r="H515" s="11"/>
      <c r="I515" s="11"/>
      <c r="J515" s="12"/>
      <c r="K515" s="12"/>
      <c r="L515" s="28" t="str">
        <f aca="false">IF(AND(ISNUMBER(J515),ISNUMBER(K515),N(J515)&gt;0),1-K515/J515,"")</f>
        <v/>
      </c>
      <c r="M515" s="29"/>
      <c r="N515" s="30"/>
      <c r="O515" s="30"/>
      <c r="P515" s="11"/>
      <c r="Q515" s="31"/>
      <c r="R515" s="11"/>
      <c r="S515" s="11"/>
      <c r="T515" s="11"/>
      <c r="U515" s="32" t="str">
        <f aca="false">IF((LEN(A515)+LEN(B515)+LEN(C515)+LEN(D515)+LEN(E515)+LEN(F515)+LEN(G515)+LEN(H515)+LEN(I515)+LEN(J515)+LEN(K515)+LEN(M515)+LEN(N515)+LEN(O515)+LEN(P515)+LEN(Q515)+LEN(R515)+LEN(S515)+LEN(T515))=0,"",IF(OR(A515="",B515="",C515="",D515="",E515="",J515="",K515="",N515=""),"⚠ Champ obligatoire manquant",IF(AND(ISNUMBER(K515),ISNUMBER(J515),N(K515)&gt;N(J515)),"⚠ Prix Autopiec &gt; prix public",IF(COUNTIFS($A$2:$A$1001,A515,$B$2:$B$1001,B515)&gt;1,"⚠ Référence en double","✔ OK"))))</f>
        <v/>
      </c>
    </row>
    <row r="516" customFormat="false" ht="15" hidden="false" customHeight="false" outlineLevel="0" collapsed="false">
      <c r="A516" s="11"/>
      <c r="B516" s="27"/>
      <c r="C516" s="11"/>
      <c r="D516" s="11"/>
      <c r="E516" s="11"/>
      <c r="F516" s="27"/>
      <c r="G516" s="27"/>
      <c r="H516" s="11"/>
      <c r="I516" s="11"/>
      <c r="J516" s="12"/>
      <c r="K516" s="12"/>
      <c r="L516" s="28" t="str">
        <f aca="false">IF(AND(ISNUMBER(J516),ISNUMBER(K516),N(J516)&gt;0),1-K516/J516,"")</f>
        <v/>
      </c>
      <c r="M516" s="29"/>
      <c r="N516" s="30"/>
      <c r="O516" s="30"/>
      <c r="P516" s="11"/>
      <c r="Q516" s="31"/>
      <c r="R516" s="11"/>
      <c r="S516" s="11"/>
      <c r="T516" s="11"/>
      <c r="U516" s="32" t="str">
        <f aca="false">IF((LEN(A516)+LEN(B516)+LEN(C516)+LEN(D516)+LEN(E516)+LEN(F516)+LEN(G516)+LEN(H516)+LEN(I516)+LEN(J516)+LEN(K516)+LEN(M516)+LEN(N516)+LEN(O516)+LEN(P516)+LEN(Q516)+LEN(R516)+LEN(S516)+LEN(T516))=0,"",IF(OR(A516="",B516="",C516="",D516="",E516="",J516="",K516="",N516=""),"⚠ Champ obligatoire manquant",IF(AND(ISNUMBER(K516),ISNUMBER(J516),N(K516)&gt;N(J516)),"⚠ Prix Autopiec &gt; prix public",IF(COUNTIFS($A$2:$A$1001,A516,$B$2:$B$1001,B516)&gt;1,"⚠ Référence en double","✔ OK"))))</f>
        <v/>
      </c>
    </row>
    <row r="517" customFormat="false" ht="15" hidden="false" customHeight="false" outlineLevel="0" collapsed="false">
      <c r="A517" s="11"/>
      <c r="B517" s="27"/>
      <c r="C517" s="11"/>
      <c r="D517" s="11"/>
      <c r="E517" s="11"/>
      <c r="F517" s="27"/>
      <c r="G517" s="27"/>
      <c r="H517" s="11"/>
      <c r="I517" s="11"/>
      <c r="J517" s="12"/>
      <c r="K517" s="12"/>
      <c r="L517" s="28" t="str">
        <f aca="false">IF(AND(ISNUMBER(J517),ISNUMBER(K517),N(J517)&gt;0),1-K517/J517,"")</f>
        <v/>
      </c>
      <c r="M517" s="29"/>
      <c r="N517" s="30"/>
      <c r="O517" s="30"/>
      <c r="P517" s="11"/>
      <c r="Q517" s="31"/>
      <c r="R517" s="11"/>
      <c r="S517" s="11"/>
      <c r="T517" s="11"/>
      <c r="U517" s="32" t="str">
        <f aca="false">IF((LEN(A517)+LEN(B517)+LEN(C517)+LEN(D517)+LEN(E517)+LEN(F517)+LEN(G517)+LEN(H517)+LEN(I517)+LEN(J517)+LEN(K517)+LEN(M517)+LEN(N517)+LEN(O517)+LEN(P517)+LEN(Q517)+LEN(R517)+LEN(S517)+LEN(T517))=0,"",IF(OR(A517="",B517="",C517="",D517="",E517="",J517="",K517="",N517=""),"⚠ Champ obligatoire manquant",IF(AND(ISNUMBER(K517),ISNUMBER(J517),N(K517)&gt;N(J517)),"⚠ Prix Autopiec &gt; prix public",IF(COUNTIFS($A$2:$A$1001,A517,$B$2:$B$1001,B517)&gt;1,"⚠ Référence en double","✔ OK"))))</f>
        <v/>
      </c>
    </row>
    <row r="518" customFormat="false" ht="15" hidden="false" customHeight="false" outlineLevel="0" collapsed="false">
      <c r="A518" s="11"/>
      <c r="B518" s="27"/>
      <c r="C518" s="11"/>
      <c r="D518" s="11"/>
      <c r="E518" s="11"/>
      <c r="F518" s="27"/>
      <c r="G518" s="27"/>
      <c r="H518" s="11"/>
      <c r="I518" s="11"/>
      <c r="J518" s="12"/>
      <c r="K518" s="12"/>
      <c r="L518" s="28" t="str">
        <f aca="false">IF(AND(ISNUMBER(J518),ISNUMBER(K518),N(J518)&gt;0),1-K518/J518,"")</f>
        <v/>
      </c>
      <c r="M518" s="29"/>
      <c r="N518" s="30"/>
      <c r="O518" s="30"/>
      <c r="P518" s="11"/>
      <c r="Q518" s="31"/>
      <c r="R518" s="11"/>
      <c r="S518" s="11"/>
      <c r="T518" s="11"/>
      <c r="U518" s="32" t="str">
        <f aca="false">IF((LEN(A518)+LEN(B518)+LEN(C518)+LEN(D518)+LEN(E518)+LEN(F518)+LEN(G518)+LEN(H518)+LEN(I518)+LEN(J518)+LEN(K518)+LEN(M518)+LEN(N518)+LEN(O518)+LEN(P518)+LEN(Q518)+LEN(R518)+LEN(S518)+LEN(T518))=0,"",IF(OR(A518="",B518="",C518="",D518="",E518="",J518="",K518="",N518=""),"⚠ Champ obligatoire manquant",IF(AND(ISNUMBER(K518),ISNUMBER(J518),N(K518)&gt;N(J518)),"⚠ Prix Autopiec &gt; prix public",IF(COUNTIFS($A$2:$A$1001,A518,$B$2:$B$1001,B518)&gt;1,"⚠ Référence en double","✔ OK"))))</f>
        <v/>
      </c>
    </row>
    <row r="519" customFormat="false" ht="15" hidden="false" customHeight="false" outlineLevel="0" collapsed="false">
      <c r="A519" s="11"/>
      <c r="B519" s="27"/>
      <c r="C519" s="11"/>
      <c r="D519" s="11"/>
      <c r="E519" s="11"/>
      <c r="F519" s="27"/>
      <c r="G519" s="27"/>
      <c r="H519" s="11"/>
      <c r="I519" s="11"/>
      <c r="J519" s="12"/>
      <c r="K519" s="12"/>
      <c r="L519" s="28" t="str">
        <f aca="false">IF(AND(ISNUMBER(J519),ISNUMBER(K519),N(J519)&gt;0),1-K519/J519,"")</f>
        <v/>
      </c>
      <c r="M519" s="29"/>
      <c r="N519" s="30"/>
      <c r="O519" s="30"/>
      <c r="P519" s="11"/>
      <c r="Q519" s="31"/>
      <c r="R519" s="11"/>
      <c r="S519" s="11"/>
      <c r="T519" s="11"/>
      <c r="U519" s="32" t="str">
        <f aca="false">IF((LEN(A519)+LEN(B519)+LEN(C519)+LEN(D519)+LEN(E519)+LEN(F519)+LEN(G519)+LEN(H519)+LEN(I519)+LEN(J519)+LEN(K519)+LEN(M519)+LEN(N519)+LEN(O519)+LEN(P519)+LEN(Q519)+LEN(R519)+LEN(S519)+LEN(T519))=0,"",IF(OR(A519="",B519="",C519="",D519="",E519="",J519="",K519="",N519=""),"⚠ Champ obligatoire manquant",IF(AND(ISNUMBER(K519),ISNUMBER(J519),N(K519)&gt;N(J519)),"⚠ Prix Autopiec &gt; prix public",IF(COUNTIFS($A$2:$A$1001,A519,$B$2:$B$1001,B519)&gt;1,"⚠ Référence en double","✔ OK"))))</f>
        <v/>
      </c>
    </row>
    <row r="520" customFormat="false" ht="15" hidden="false" customHeight="false" outlineLevel="0" collapsed="false">
      <c r="A520" s="11"/>
      <c r="B520" s="27"/>
      <c r="C520" s="11"/>
      <c r="D520" s="11"/>
      <c r="E520" s="11"/>
      <c r="F520" s="27"/>
      <c r="G520" s="27"/>
      <c r="H520" s="11"/>
      <c r="I520" s="11"/>
      <c r="J520" s="12"/>
      <c r="K520" s="12"/>
      <c r="L520" s="28" t="str">
        <f aca="false">IF(AND(ISNUMBER(J520),ISNUMBER(K520),N(J520)&gt;0),1-K520/J520,"")</f>
        <v/>
      </c>
      <c r="M520" s="29"/>
      <c r="N520" s="30"/>
      <c r="O520" s="30"/>
      <c r="P520" s="11"/>
      <c r="Q520" s="31"/>
      <c r="R520" s="11"/>
      <c r="S520" s="11"/>
      <c r="T520" s="11"/>
      <c r="U520" s="32" t="str">
        <f aca="false">IF((LEN(A520)+LEN(B520)+LEN(C520)+LEN(D520)+LEN(E520)+LEN(F520)+LEN(G520)+LEN(H520)+LEN(I520)+LEN(J520)+LEN(K520)+LEN(M520)+LEN(N520)+LEN(O520)+LEN(P520)+LEN(Q520)+LEN(R520)+LEN(S520)+LEN(T520))=0,"",IF(OR(A520="",B520="",C520="",D520="",E520="",J520="",K520="",N520=""),"⚠ Champ obligatoire manquant",IF(AND(ISNUMBER(K520),ISNUMBER(J520),N(K520)&gt;N(J520)),"⚠ Prix Autopiec &gt; prix public",IF(COUNTIFS($A$2:$A$1001,A520,$B$2:$B$1001,B520)&gt;1,"⚠ Référence en double","✔ OK"))))</f>
        <v/>
      </c>
    </row>
    <row r="521" customFormat="false" ht="15" hidden="false" customHeight="false" outlineLevel="0" collapsed="false">
      <c r="A521" s="11"/>
      <c r="B521" s="27"/>
      <c r="C521" s="11"/>
      <c r="D521" s="11"/>
      <c r="E521" s="11"/>
      <c r="F521" s="27"/>
      <c r="G521" s="27"/>
      <c r="H521" s="11"/>
      <c r="I521" s="11"/>
      <c r="J521" s="12"/>
      <c r="K521" s="12"/>
      <c r="L521" s="28" t="str">
        <f aca="false">IF(AND(ISNUMBER(J521),ISNUMBER(K521),N(J521)&gt;0),1-K521/J521,"")</f>
        <v/>
      </c>
      <c r="M521" s="29"/>
      <c r="N521" s="30"/>
      <c r="O521" s="30"/>
      <c r="P521" s="11"/>
      <c r="Q521" s="31"/>
      <c r="R521" s="11"/>
      <c r="S521" s="11"/>
      <c r="T521" s="11"/>
      <c r="U521" s="32" t="str">
        <f aca="false">IF((LEN(A521)+LEN(B521)+LEN(C521)+LEN(D521)+LEN(E521)+LEN(F521)+LEN(G521)+LEN(H521)+LEN(I521)+LEN(J521)+LEN(K521)+LEN(M521)+LEN(N521)+LEN(O521)+LEN(P521)+LEN(Q521)+LEN(R521)+LEN(S521)+LEN(T521))=0,"",IF(OR(A521="",B521="",C521="",D521="",E521="",J521="",K521="",N521=""),"⚠ Champ obligatoire manquant",IF(AND(ISNUMBER(K521),ISNUMBER(J521),N(K521)&gt;N(J521)),"⚠ Prix Autopiec &gt; prix public",IF(COUNTIFS($A$2:$A$1001,A521,$B$2:$B$1001,B521)&gt;1,"⚠ Référence en double","✔ OK"))))</f>
        <v/>
      </c>
    </row>
    <row r="522" customFormat="false" ht="15" hidden="false" customHeight="false" outlineLevel="0" collapsed="false">
      <c r="A522" s="11"/>
      <c r="B522" s="27"/>
      <c r="C522" s="11"/>
      <c r="D522" s="11"/>
      <c r="E522" s="11"/>
      <c r="F522" s="27"/>
      <c r="G522" s="27"/>
      <c r="H522" s="11"/>
      <c r="I522" s="11"/>
      <c r="J522" s="12"/>
      <c r="K522" s="12"/>
      <c r="L522" s="28" t="str">
        <f aca="false">IF(AND(ISNUMBER(J522),ISNUMBER(K522),N(J522)&gt;0),1-K522/J522,"")</f>
        <v/>
      </c>
      <c r="M522" s="29"/>
      <c r="N522" s="30"/>
      <c r="O522" s="30"/>
      <c r="P522" s="11"/>
      <c r="Q522" s="31"/>
      <c r="R522" s="11"/>
      <c r="S522" s="11"/>
      <c r="T522" s="11"/>
      <c r="U522" s="32" t="str">
        <f aca="false">IF((LEN(A522)+LEN(B522)+LEN(C522)+LEN(D522)+LEN(E522)+LEN(F522)+LEN(G522)+LEN(H522)+LEN(I522)+LEN(J522)+LEN(K522)+LEN(M522)+LEN(N522)+LEN(O522)+LEN(P522)+LEN(Q522)+LEN(R522)+LEN(S522)+LEN(T522))=0,"",IF(OR(A522="",B522="",C522="",D522="",E522="",J522="",K522="",N522=""),"⚠ Champ obligatoire manquant",IF(AND(ISNUMBER(K522),ISNUMBER(J522),N(K522)&gt;N(J522)),"⚠ Prix Autopiec &gt; prix public",IF(COUNTIFS($A$2:$A$1001,A522,$B$2:$B$1001,B522)&gt;1,"⚠ Référence en double","✔ OK"))))</f>
        <v/>
      </c>
    </row>
    <row r="523" customFormat="false" ht="15" hidden="false" customHeight="false" outlineLevel="0" collapsed="false">
      <c r="A523" s="11"/>
      <c r="B523" s="27"/>
      <c r="C523" s="11"/>
      <c r="D523" s="11"/>
      <c r="E523" s="11"/>
      <c r="F523" s="27"/>
      <c r="G523" s="27"/>
      <c r="H523" s="11"/>
      <c r="I523" s="11"/>
      <c r="J523" s="12"/>
      <c r="K523" s="12"/>
      <c r="L523" s="28" t="str">
        <f aca="false">IF(AND(ISNUMBER(J523),ISNUMBER(K523),N(J523)&gt;0),1-K523/J523,"")</f>
        <v/>
      </c>
      <c r="M523" s="29"/>
      <c r="N523" s="30"/>
      <c r="O523" s="30"/>
      <c r="P523" s="11"/>
      <c r="Q523" s="31"/>
      <c r="R523" s="11"/>
      <c r="S523" s="11"/>
      <c r="T523" s="11"/>
      <c r="U523" s="32" t="str">
        <f aca="false">IF((LEN(A523)+LEN(B523)+LEN(C523)+LEN(D523)+LEN(E523)+LEN(F523)+LEN(G523)+LEN(H523)+LEN(I523)+LEN(J523)+LEN(K523)+LEN(M523)+LEN(N523)+LEN(O523)+LEN(P523)+LEN(Q523)+LEN(R523)+LEN(S523)+LEN(T523))=0,"",IF(OR(A523="",B523="",C523="",D523="",E523="",J523="",K523="",N523=""),"⚠ Champ obligatoire manquant",IF(AND(ISNUMBER(K523),ISNUMBER(J523),N(K523)&gt;N(J523)),"⚠ Prix Autopiec &gt; prix public",IF(COUNTIFS($A$2:$A$1001,A523,$B$2:$B$1001,B523)&gt;1,"⚠ Référence en double","✔ OK"))))</f>
        <v/>
      </c>
    </row>
    <row r="524" customFormat="false" ht="15" hidden="false" customHeight="false" outlineLevel="0" collapsed="false">
      <c r="A524" s="11"/>
      <c r="B524" s="27"/>
      <c r="C524" s="11"/>
      <c r="D524" s="11"/>
      <c r="E524" s="11"/>
      <c r="F524" s="27"/>
      <c r="G524" s="27"/>
      <c r="H524" s="11"/>
      <c r="I524" s="11"/>
      <c r="J524" s="12"/>
      <c r="K524" s="12"/>
      <c r="L524" s="28" t="str">
        <f aca="false">IF(AND(ISNUMBER(J524),ISNUMBER(K524),N(J524)&gt;0),1-K524/J524,"")</f>
        <v/>
      </c>
      <c r="M524" s="29"/>
      <c r="N524" s="30"/>
      <c r="O524" s="30"/>
      <c r="P524" s="11"/>
      <c r="Q524" s="31"/>
      <c r="R524" s="11"/>
      <c r="S524" s="11"/>
      <c r="T524" s="11"/>
      <c r="U524" s="32" t="str">
        <f aca="false">IF((LEN(A524)+LEN(B524)+LEN(C524)+LEN(D524)+LEN(E524)+LEN(F524)+LEN(G524)+LEN(H524)+LEN(I524)+LEN(J524)+LEN(K524)+LEN(M524)+LEN(N524)+LEN(O524)+LEN(P524)+LEN(Q524)+LEN(R524)+LEN(S524)+LEN(T524))=0,"",IF(OR(A524="",B524="",C524="",D524="",E524="",J524="",K524="",N524=""),"⚠ Champ obligatoire manquant",IF(AND(ISNUMBER(K524),ISNUMBER(J524),N(K524)&gt;N(J524)),"⚠ Prix Autopiec &gt; prix public",IF(COUNTIFS($A$2:$A$1001,A524,$B$2:$B$1001,B524)&gt;1,"⚠ Référence en double","✔ OK"))))</f>
        <v/>
      </c>
    </row>
    <row r="525" customFormat="false" ht="15" hidden="false" customHeight="false" outlineLevel="0" collapsed="false">
      <c r="A525" s="11"/>
      <c r="B525" s="27"/>
      <c r="C525" s="11"/>
      <c r="D525" s="11"/>
      <c r="E525" s="11"/>
      <c r="F525" s="27"/>
      <c r="G525" s="27"/>
      <c r="H525" s="11"/>
      <c r="I525" s="11"/>
      <c r="J525" s="12"/>
      <c r="K525" s="12"/>
      <c r="L525" s="28" t="str">
        <f aca="false">IF(AND(ISNUMBER(J525),ISNUMBER(K525),N(J525)&gt;0),1-K525/J525,"")</f>
        <v/>
      </c>
      <c r="M525" s="29"/>
      <c r="N525" s="30"/>
      <c r="O525" s="30"/>
      <c r="P525" s="11"/>
      <c r="Q525" s="31"/>
      <c r="R525" s="11"/>
      <c r="S525" s="11"/>
      <c r="T525" s="11"/>
      <c r="U525" s="32" t="str">
        <f aca="false">IF((LEN(A525)+LEN(B525)+LEN(C525)+LEN(D525)+LEN(E525)+LEN(F525)+LEN(G525)+LEN(H525)+LEN(I525)+LEN(J525)+LEN(K525)+LEN(M525)+LEN(N525)+LEN(O525)+LEN(P525)+LEN(Q525)+LEN(R525)+LEN(S525)+LEN(T525))=0,"",IF(OR(A525="",B525="",C525="",D525="",E525="",J525="",K525="",N525=""),"⚠ Champ obligatoire manquant",IF(AND(ISNUMBER(K525),ISNUMBER(J525),N(K525)&gt;N(J525)),"⚠ Prix Autopiec &gt; prix public",IF(COUNTIFS($A$2:$A$1001,A525,$B$2:$B$1001,B525)&gt;1,"⚠ Référence en double","✔ OK"))))</f>
        <v/>
      </c>
    </row>
    <row r="526" customFormat="false" ht="15" hidden="false" customHeight="false" outlineLevel="0" collapsed="false">
      <c r="A526" s="11"/>
      <c r="B526" s="27"/>
      <c r="C526" s="11"/>
      <c r="D526" s="11"/>
      <c r="E526" s="11"/>
      <c r="F526" s="27"/>
      <c r="G526" s="27"/>
      <c r="H526" s="11"/>
      <c r="I526" s="11"/>
      <c r="J526" s="12"/>
      <c r="K526" s="12"/>
      <c r="L526" s="28" t="str">
        <f aca="false">IF(AND(ISNUMBER(J526),ISNUMBER(K526),N(J526)&gt;0),1-K526/J526,"")</f>
        <v/>
      </c>
      <c r="M526" s="29"/>
      <c r="N526" s="30"/>
      <c r="O526" s="30"/>
      <c r="P526" s="11"/>
      <c r="Q526" s="31"/>
      <c r="R526" s="11"/>
      <c r="S526" s="11"/>
      <c r="T526" s="11"/>
      <c r="U526" s="32" t="str">
        <f aca="false">IF((LEN(A526)+LEN(B526)+LEN(C526)+LEN(D526)+LEN(E526)+LEN(F526)+LEN(G526)+LEN(H526)+LEN(I526)+LEN(J526)+LEN(K526)+LEN(M526)+LEN(N526)+LEN(O526)+LEN(P526)+LEN(Q526)+LEN(R526)+LEN(S526)+LEN(T526))=0,"",IF(OR(A526="",B526="",C526="",D526="",E526="",J526="",K526="",N526=""),"⚠ Champ obligatoire manquant",IF(AND(ISNUMBER(K526),ISNUMBER(J526),N(K526)&gt;N(J526)),"⚠ Prix Autopiec &gt; prix public",IF(COUNTIFS($A$2:$A$1001,A526,$B$2:$B$1001,B526)&gt;1,"⚠ Référence en double","✔ OK"))))</f>
        <v/>
      </c>
    </row>
    <row r="527" customFormat="false" ht="15" hidden="false" customHeight="false" outlineLevel="0" collapsed="false">
      <c r="A527" s="11"/>
      <c r="B527" s="27"/>
      <c r="C527" s="11"/>
      <c r="D527" s="11"/>
      <c r="E527" s="11"/>
      <c r="F527" s="27"/>
      <c r="G527" s="27"/>
      <c r="H527" s="11"/>
      <c r="I527" s="11"/>
      <c r="J527" s="12"/>
      <c r="K527" s="12"/>
      <c r="L527" s="28" t="str">
        <f aca="false">IF(AND(ISNUMBER(J527),ISNUMBER(K527),N(J527)&gt;0),1-K527/J527,"")</f>
        <v/>
      </c>
      <c r="M527" s="29"/>
      <c r="N527" s="30"/>
      <c r="O527" s="30"/>
      <c r="P527" s="11"/>
      <c r="Q527" s="31"/>
      <c r="R527" s="11"/>
      <c r="S527" s="11"/>
      <c r="T527" s="11"/>
      <c r="U527" s="32" t="str">
        <f aca="false">IF((LEN(A527)+LEN(B527)+LEN(C527)+LEN(D527)+LEN(E527)+LEN(F527)+LEN(G527)+LEN(H527)+LEN(I527)+LEN(J527)+LEN(K527)+LEN(M527)+LEN(N527)+LEN(O527)+LEN(P527)+LEN(Q527)+LEN(R527)+LEN(S527)+LEN(T527))=0,"",IF(OR(A527="",B527="",C527="",D527="",E527="",J527="",K527="",N527=""),"⚠ Champ obligatoire manquant",IF(AND(ISNUMBER(K527),ISNUMBER(J527),N(K527)&gt;N(J527)),"⚠ Prix Autopiec &gt; prix public",IF(COUNTIFS($A$2:$A$1001,A527,$B$2:$B$1001,B527)&gt;1,"⚠ Référence en double","✔ OK"))))</f>
        <v/>
      </c>
    </row>
    <row r="528" customFormat="false" ht="15" hidden="false" customHeight="false" outlineLevel="0" collapsed="false">
      <c r="A528" s="11"/>
      <c r="B528" s="27"/>
      <c r="C528" s="11"/>
      <c r="D528" s="11"/>
      <c r="E528" s="11"/>
      <c r="F528" s="27"/>
      <c r="G528" s="27"/>
      <c r="H528" s="11"/>
      <c r="I528" s="11"/>
      <c r="J528" s="12"/>
      <c r="K528" s="12"/>
      <c r="L528" s="28" t="str">
        <f aca="false">IF(AND(ISNUMBER(J528),ISNUMBER(K528),N(J528)&gt;0),1-K528/J528,"")</f>
        <v/>
      </c>
      <c r="M528" s="29"/>
      <c r="N528" s="30"/>
      <c r="O528" s="30"/>
      <c r="P528" s="11"/>
      <c r="Q528" s="31"/>
      <c r="R528" s="11"/>
      <c r="S528" s="11"/>
      <c r="T528" s="11"/>
      <c r="U528" s="32" t="str">
        <f aca="false">IF((LEN(A528)+LEN(B528)+LEN(C528)+LEN(D528)+LEN(E528)+LEN(F528)+LEN(G528)+LEN(H528)+LEN(I528)+LEN(J528)+LEN(K528)+LEN(M528)+LEN(N528)+LEN(O528)+LEN(P528)+LEN(Q528)+LEN(R528)+LEN(S528)+LEN(T528))=0,"",IF(OR(A528="",B528="",C528="",D528="",E528="",J528="",K528="",N528=""),"⚠ Champ obligatoire manquant",IF(AND(ISNUMBER(K528),ISNUMBER(J528),N(K528)&gt;N(J528)),"⚠ Prix Autopiec &gt; prix public",IF(COUNTIFS($A$2:$A$1001,A528,$B$2:$B$1001,B528)&gt;1,"⚠ Référence en double","✔ OK"))))</f>
        <v/>
      </c>
    </row>
    <row r="529" customFormat="false" ht="15" hidden="false" customHeight="false" outlineLevel="0" collapsed="false">
      <c r="A529" s="11"/>
      <c r="B529" s="27"/>
      <c r="C529" s="11"/>
      <c r="D529" s="11"/>
      <c r="E529" s="11"/>
      <c r="F529" s="27"/>
      <c r="G529" s="27"/>
      <c r="H529" s="11"/>
      <c r="I529" s="11"/>
      <c r="J529" s="12"/>
      <c r="K529" s="12"/>
      <c r="L529" s="28" t="str">
        <f aca="false">IF(AND(ISNUMBER(J529),ISNUMBER(K529),N(J529)&gt;0),1-K529/J529,"")</f>
        <v/>
      </c>
      <c r="M529" s="29"/>
      <c r="N529" s="30"/>
      <c r="O529" s="30"/>
      <c r="P529" s="11"/>
      <c r="Q529" s="31"/>
      <c r="R529" s="11"/>
      <c r="S529" s="11"/>
      <c r="T529" s="11"/>
      <c r="U529" s="32" t="str">
        <f aca="false">IF((LEN(A529)+LEN(B529)+LEN(C529)+LEN(D529)+LEN(E529)+LEN(F529)+LEN(G529)+LEN(H529)+LEN(I529)+LEN(J529)+LEN(K529)+LEN(M529)+LEN(N529)+LEN(O529)+LEN(P529)+LEN(Q529)+LEN(R529)+LEN(S529)+LEN(T529))=0,"",IF(OR(A529="",B529="",C529="",D529="",E529="",J529="",K529="",N529=""),"⚠ Champ obligatoire manquant",IF(AND(ISNUMBER(K529),ISNUMBER(J529),N(K529)&gt;N(J529)),"⚠ Prix Autopiec &gt; prix public",IF(COUNTIFS($A$2:$A$1001,A529,$B$2:$B$1001,B529)&gt;1,"⚠ Référence en double","✔ OK"))))</f>
        <v/>
      </c>
    </row>
    <row r="530" customFormat="false" ht="15" hidden="false" customHeight="false" outlineLevel="0" collapsed="false">
      <c r="A530" s="11"/>
      <c r="B530" s="27"/>
      <c r="C530" s="11"/>
      <c r="D530" s="11"/>
      <c r="E530" s="11"/>
      <c r="F530" s="27"/>
      <c r="G530" s="27"/>
      <c r="H530" s="11"/>
      <c r="I530" s="11"/>
      <c r="J530" s="12"/>
      <c r="K530" s="12"/>
      <c r="L530" s="28" t="str">
        <f aca="false">IF(AND(ISNUMBER(J530),ISNUMBER(K530),N(J530)&gt;0),1-K530/J530,"")</f>
        <v/>
      </c>
      <c r="M530" s="29"/>
      <c r="N530" s="30"/>
      <c r="O530" s="30"/>
      <c r="P530" s="11"/>
      <c r="Q530" s="31"/>
      <c r="R530" s="11"/>
      <c r="S530" s="11"/>
      <c r="T530" s="11"/>
      <c r="U530" s="32" t="str">
        <f aca="false">IF((LEN(A530)+LEN(B530)+LEN(C530)+LEN(D530)+LEN(E530)+LEN(F530)+LEN(G530)+LEN(H530)+LEN(I530)+LEN(J530)+LEN(K530)+LEN(M530)+LEN(N530)+LEN(O530)+LEN(P530)+LEN(Q530)+LEN(R530)+LEN(S530)+LEN(T530))=0,"",IF(OR(A530="",B530="",C530="",D530="",E530="",J530="",K530="",N530=""),"⚠ Champ obligatoire manquant",IF(AND(ISNUMBER(K530),ISNUMBER(J530),N(K530)&gt;N(J530)),"⚠ Prix Autopiec &gt; prix public",IF(COUNTIFS($A$2:$A$1001,A530,$B$2:$B$1001,B530)&gt;1,"⚠ Référence en double","✔ OK"))))</f>
        <v/>
      </c>
    </row>
    <row r="531" customFormat="false" ht="15" hidden="false" customHeight="false" outlineLevel="0" collapsed="false">
      <c r="A531" s="11"/>
      <c r="B531" s="27"/>
      <c r="C531" s="11"/>
      <c r="D531" s="11"/>
      <c r="E531" s="11"/>
      <c r="F531" s="27"/>
      <c r="G531" s="27"/>
      <c r="H531" s="11"/>
      <c r="I531" s="11"/>
      <c r="J531" s="12"/>
      <c r="K531" s="12"/>
      <c r="L531" s="28" t="str">
        <f aca="false">IF(AND(ISNUMBER(J531),ISNUMBER(K531),N(J531)&gt;0),1-K531/J531,"")</f>
        <v/>
      </c>
      <c r="M531" s="29"/>
      <c r="N531" s="30"/>
      <c r="O531" s="30"/>
      <c r="P531" s="11"/>
      <c r="Q531" s="31"/>
      <c r="R531" s="11"/>
      <c r="S531" s="11"/>
      <c r="T531" s="11"/>
      <c r="U531" s="32" t="str">
        <f aca="false">IF((LEN(A531)+LEN(B531)+LEN(C531)+LEN(D531)+LEN(E531)+LEN(F531)+LEN(G531)+LEN(H531)+LEN(I531)+LEN(J531)+LEN(K531)+LEN(M531)+LEN(N531)+LEN(O531)+LEN(P531)+LEN(Q531)+LEN(R531)+LEN(S531)+LEN(T531))=0,"",IF(OR(A531="",B531="",C531="",D531="",E531="",J531="",K531="",N531=""),"⚠ Champ obligatoire manquant",IF(AND(ISNUMBER(K531),ISNUMBER(J531),N(K531)&gt;N(J531)),"⚠ Prix Autopiec &gt; prix public",IF(COUNTIFS($A$2:$A$1001,A531,$B$2:$B$1001,B531)&gt;1,"⚠ Référence en double","✔ OK"))))</f>
        <v/>
      </c>
    </row>
    <row r="532" customFormat="false" ht="15" hidden="false" customHeight="false" outlineLevel="0" collapsed="false">
      <c r="A532" s="11"/>
      <c r="B532" s="27"/>
      <c r="C532" s="11"/>
      <c r="D532" s="11"/>
      <c r="E532" s="11"/>
      <c r="F532" s="27"/>
      <c r="G532" s="27"/>
      <c r="H532" s="11"/>
      <c r="I532" s="11"/>
      <c r="J532" s="12"/>
      <c r="K532" s="12"/>
      <c r="L532" s="28" t="str">
        <f aca="false">IF(AND(ISNUMBER(J532),ISNUMBER(K532),N(J532)&gt;0),1-K532/J532,"")</f>
        <v/>
      </c>
      <c r="M532" s="29"/>
      <c r="N532" s="30"/>
      <c r="O532" s="30"/>
      <c r="P532" s="11"/>
      <c r="Q532" s="31"/>
      <c r="R532" s="11"/>
      <c r="S532" s="11"/>
      <c r="T532" s="11"/>
      <c r="U532" s="32" t="str">
        <f aca="false">IF((LEN(A532)+LEN(B532)+LEN(C532)+LEN(D532)+LEN(E532)+LEN(F532)+LEN(G532)+LEN(H532)+LEN(I532)+LEN(J532)+LEN(K532)+LEN(M532)+LEN(N532)+LEN(O532)+LEN(P532)+LEN(Q532)+LEN(R532)+LEN(S532)+LEN(T532))=0,"",IF(OR(A532="",B532="",C532="",D532="",E532="",J532="",K532="",N532=""),"⚠ Champ obligatoire manquant",IF(AND(ISNUMBER(K532),ISNUMBER(J532),N(K532)&gt;N(J532)),"⚠ Prix Autopiec &gt; prix public",IF(COUNTIFS($A$2:$A$1001,A532,$B$2:$B$1001,B532)&gt;1,"⚠ Référence en double","✔ OK"))))</f>
        <v/>
      </c>
    </row>
    <row r="533" customFormat="false" ht="15" hidden="false" customHeight="false" outlineLevel="0" collapsed="false">
      <c r="A533" s="11"/>
      <c r="B533" s="27"/>
      <c r="C533" s="11"/>
      <c r="D533" s="11"/>
      <c r="E533" s="11"/>
      <c r="F533" s="27"/>
      <c r="G533" s="27"/>
      <c r="H533" s="11"/>
      <c r="I533" s="11"/>
      <c r="J533" s="12"/>
      <c r="K533" s="12"/>
      <c r="L533" s="28" t="str">
        <f aca="false">IF(AND(ISNUMBER(J533),ISNUMBER(K533),N(J533)&gt;0),1-K533/J533,"")</f>
        <v/>
      </c>
      <c r="M533" s="29"/>
      <c r="N533" s="30"/>
      <c r="O533" s="30"/>
      <c r="P533" s="11"/>
      <c r="Q533" s="31"/>
      <c r="R533" s="11"/>
      <c r="S533" s="11"/>
      <c r="T533" s="11"/>
      <c r="U533" s="32" t="str">
        <f aca="false">IF((LEN(A533)+LEN(B533)+LEN(C533)+LEN(D533)+LEN(E533)+LEN(F533)+LEN(G533)+LEN(H533)+LEN(I533)+LEN(J533)+LEN(K533)+LEN(M533)+LEN(N533)+LEN(O533)+LEN(P533)+LEN(Q533)+LEN(R533)+LEN(S533)+LEN(T533))=0,"",IF(OR(A533="",B533="",C533="",D533="",E533="",J533="",K533="",N533=""),"⚠ Champ obligatoire manquant",IF(AND(ISNUMBER(K533),ISNUMBER(J533),N(K533)&gt;N(J533)),"⚠ Prix Autopiec &gt; prix public",IF(COUNTIFS($A$2:$A$1001,A533,$B$2:$B$1001,B533)&gt;1,"⚠ Référence en double","✔ OK"))))</f>
        <v/>
      </c>
    </row>
    <row r="534" customFormat="false" ht="15" hidden="false" customHeight="false" outlineLevel="0" collapsed="false">
      <c r="A534" s="11"/>
      <c r="B534" s="27"/>
      <c r="C534" s="11"/>
      <c r="D534" s="11"/>
      <c r="E534" s="11"/>
      <c r="F534" s="27"/>
      <c r="G534" s="27"/>
      <c r="H534" s="11"/>
      <c r="I534" s="11"/>
      <c r="J534" s="12"/>
      <c r="K534" s="12"/>
      <c r="L534" s="28" t="str">
        <f aca="false">IF(AND(ISNUMBER(J534),ISNUMBER(K534),N(J534)&gt;0),1-K534/J534,"")</f>
        <v/>
      </c>
      <c r="M534" s="29"/>
      <c r="N534" s="30"/>
      <c r="O534" s="30"/>
      <c r="P534" s="11"/>
      <c r="Q534" s="31"/>
      <c r="R534" s="11"/>
      <c r="S534" s="11"/>
      <c r="T534" s="11"/>
      <c r="U534" s="32" t="str">
        <f aca="false">IF((LEN(A534)+LEN(B534)+LEN(C534)+LEN(D534)+LEN(E534)+LEN(F534)+LEN(G534)+LEN(H534)+LEN(I534)+LEN(J534)+LEN(K534)+LEN(M534)+LEN(N534)+LEN(O534)+LEN(P534)+LEN(Q534)+LEN(R534)+LEN(S534)+LEN(T534))=0,"",IF(OR(A534="",B534="",C534="",D534="",E534="",J534="",K534="",N534=""),"⚠ Champ obligatoire manquant",IF(AND(ISNUMBER(K534),ISNUMBER(J534),N(K534)&gt;N(J534)),"⚠ Prix Autopiec &gt; prix public",IF(COUNTIFS($A$2:$A$1001,A534,$B$2:$B$1001,B534)&gt;1,"⚠ Référence en double","✔ OK"))))</f>
        <v/>
      </c>
    </row>
    <row r="535" customFormat="false" ht="15" hidden="false" customHeight="false" outlineLevel="0" collapsed="false">
      <c r="A535" s="11"/>
      <c r="B535" s="27"/>
      <c r="C535" s="11"/>
      <c r="D535" s="11"/>
      <c r="E535" s="11"/>
      <c r="F535" s="27"/>
      <c r="G535" s="27"/>
      <c r="H535" s="11"/>
      <c r="I535" s="11"/>
      <c r="J535" s="12"/>
      <c r="K535" s="12"/>
      <c r="L535" s="28" t="str">
        <f aca="false">IF(AND(ISNUMBER(J535),ISNUMBER(K535),N(J535)&gt;0),1-K535/J535,"")</f>
        <v/>
      </c>
      <c r="M535" s="29"/>
      <c r="N535" s="30"/>
      <c r="O535" s="30"/>
      <c r="P535" s="11"/>
      <c r="Q535" s="31"/>
      <c r="R535" s="11"/>
      <c r="S535" s="11"/>
      <c r="T535" s="11"/>
      <c r="U535" s="32" t="str">
        <f aca="false">IF((LEN(A535)+LEN(B535)+LEN(C535)+LEN(D535)+LEN(E535)+LEN(F535)+LEN(G535)+LEN(H535)+LEN(I535)+LEN(J535)+LEN(K535)+LEN(M535)+LEN(N535)+LEN(O535)+LEN(P535)+LEN(Q535)+LEN(R535)+LEN(S535)+LEN(T535))=0,"",IF(OR(A535="",B535="",C535="",D535="",E535="",J535="",K535="",N535=""),"⚠ Champ obligatoire manquant",IF(AND(ISNUMBER(K535),ISNUMBER(J535),N(K535)&gt;N(J535)),"⚠ Prix Autopiec &gt; prix public",IF(COUNTIFS($A$2:$A$1001,A535,$B$2:$B$1001,B535)&gt;1,"⚠ Référence en double","✔ OK"))))</f>
        <v/>
      </c>
    </row>
    <row r="536" customFormat="false" ht="15" hidden="false" customHeight="false" outlineLevel="0" collapsed="false">
      <c r="A536" s="11"/>
      <c r="B536" s="27"/>
      <c r="C536" s="11"/>
      <c r="D536" s="11"/>
      <c r="E536" s="11"/>
      <c r="F536" s="27"/>
      <c r="G536" s="27"/>
      <c r="H536" s="11"/>
      <c r="I536" s="11"/>
      <c r="J536" s="12"/>
      <c r="K536" s="12"/>
      <c r="L536" s="28" t="str">
        <f aca="false">IF(AND(ISNUMBER(J536),ISNUMBER(K536),N(J536)&gt;0),1-K536/J536,"")</f>
        <v/>
      </c>
      <c r="M536" s="29"/>
      <c r="N536" s="30"/>
      <c r="O536" s="30"/>
      <c r="P536" s="11"/>
      <c r="Q536" s="31"/>
      <c r="R536" s="11"/>
      <c r="S536" s="11"/>
      <c r="T536" s="11"/>
      <c r="U536" s="32" t="str">
        <f aca="false">IF((LEN(A536)+LEN(B536)+LEN(C536)+LEN(D536)+LEN(E536)+LEN(F536)+LEN(G536)+LEN(H536)+LEN(I536)+LEN(J536)+LEN(K536)+LEN(M536)+LEN(N536)+LEN(O536)+LEN(P536)+LEN(Q536)+LEN(R536)+LEN(S536)+LEN(T536))=0,"",IF(OR(A536="",B536="",C536="",D536="",E536="",J536="",K536="",N536=""),"⚠ Champ obligatoire manquant",IF(AND(ISNUMBER(K536),ISNUMBER(J536),N(K536)&gt;N(J536)),"⚠ Prix Autopiec &gt; prix public",IF(COUNTIFS($A$2:$A$1001,A536,$B$2:$B$1001,B536)&gt;1,"⚠ Référence en double","✔ OK"))))</f>
        <v/>
      </c>
    </row>
    <row r="537" customFormat="false" ht="15" hidden="false" customHeight="false" outlineLevel="0" collapsed="false">
      <c r="A537" s="11"/>
      <c r="B537" s="27"/>
      <c r="C537" s="11"/>
      <c r="D537" s="11"/>
      <c r="E537" s="11"/>
      <c r="F537" s="27"/>
      <c r="G537" s="27"/>
      <c r="H537" s="11"/>
      <c r="I537" s="11"/>
      <c r="J537" s="12"/>
      <c r="K537" s="12"/>
      <c r="L537" s="28" t="str">
        <f aca="false">IF(AND(ISNUMBER(J537),ISNUMBER(K537),N(J537)&gt;0),1-K537/J537,"")</f>
        <v/>
      </c>
      <c r="M537" s="29"/>
      <c r="N537" s="30"/>
      <c r="O537" s="30"/>
      <c r="P537" s="11"/>
      <c r="Q537" s="31"/>
      <c r="R537" s="11"/>
      <c r="S537" s="11"/>
      <c r="T537" s="11"/>
      <c r="U537" s="32" t="str">
        <f aca="false">IF((LEN(A537)+LEN(B537)+LEN(C537)+LEN(D537)+LEN(E537)+LEN(F537)+LEN(G537)+LEN(H537)+LEN(I537)+LEN(J537)+LEN(K537)+LEN(M537)+LEN(N537)+LEN(O537)+LEN(P537)+LEN(Q537)+LEN(R537)+LEN(S537)+LEN(T537))=0,"",IF(OR(A537="",B537="",C537="",D537="",E537="",J537="",K537="",N537=""),"⚠ Champ obligatoire manquant",IF(AND(ISNUMBER(K537),ISNUMBER(J537),N(K537)&gt;N(J537)),"⚠ Prix Autopiec &gt; prix public",IF(COUNTIFS($A$2:$A$1001,A537,$B$2:$B$1001,B537)&gt;1,"⚠ Référence en double","✔ OK"))))</f>
        <v/>
      </c>
    </row>
    <row r="538" customFormat="false" ht="15" hidden="false" customHeight="false" outlineLevel="0" collapsed="false">
      <c r="A538" s="11"/>
      <c r="B538" s="27"/>
      <c r="C538" s="11"/>
      <c r="D538" s="11"/>
      <c r="E538" s="11"/>
      <c r="F538" s="27"/>
      <c r="G538" s="27"/>
      <c r="H538" s="11"/>
      <c r="I538" s="11"/>
      <c r="J538" s="12"/>
      <c r="K538" s="12"/>
      <c r="L538" s="28" t="str">
        <f aca="false">IF(AND(ISNUMBER(J538),ISNUMBER(K538),N(J538)&gt;0),1-K538/J538,"")</f>
        <v/>
      </c>
      <c r="M538" s="29"/>
      <c r="N538" s="30"/>
      <c r="O538" s="30"/>
      <c r="P538" s="11"/>
      <c r="Q538" s="31"/>
      <c r="R538" s="11"/>
      <c r="S538" s="11"/>
      <c r="T538" s="11"/>
      <c r="U538" s="32" t="str">
        <f aca="false">IF((LEN(A538)+LEN(B538)+LEN(C538)+LEN(D538)+LEN(E538)+LEN(F538)+LEN(G538)+LEN(H538)+LEN(I538)+LEN(J538)+LEN(K538)+LEN(M538)+LEN(N538)+LEN(O538)+LEN(P538)+LEN(Q538)+LEN(R538)+LEN(S538)+LEN(T538))=0,"",IF(OR(A538="",B538="",C538="",D538="",E538="",J538="",K538="",N538=""),"⚠ Champ obligatoire manquant",IF(AND(ISNUMBER(K538),ISNUMBER(J538),N(K538)&gt;N(J538)),"⚠ Prix Autopiec &gt; prix public",IF(COUNTIFS($A$2:$A$1001,A538,$B$2:$B$1001,B538)&gt;1,"⚠ Référence en double","✔ OK"))))</f>
        <v/>
      </c>
    </row>
    <row r="539" customFormat="false" ht="15" hidden="false" customHeight="false" outlineLevel="0" collapsed="false">
      <c r="A539" s="11"/>
      <c r="B539" s="27"/>
      <c r="C539" s="11"/>
      <c r="D539" s="11"/>
      <c r="E539" s="11"/>
      <c r="F539" s="27"/>
      <c r="G539" s="27"/>
      <c r="H539" s="11"/>
      <c r="I539" s="11"/>
      <c r="J539" s="12"/>
      <c r="K539" s="12"/>
      <c r="L539" s="28" t="str">
        <f aca="false">IF(AND(ISNUMBER(J539),ISNUMBER(K539),N(J539)&gt;0),1-K539/J539,"")</f>
        <v/>
      </c>
      <c r="M539" s="29"/>
      <c r="N539" s="30"/>
      <c r="O539" s="30"/>
      <c r="P539" s="11"/>
      <c r="Q539" s="31"/>
      <c r="R539" s="11"/>
      <c r="S539" s="11"/>
      <c r="T539" s="11"/>
      <c r="U539" s="32" t="str">
        <f aca="false">IF((LEN(A539)+LEN(B539)+LEN(C539)+LEN(D539)+LEN(E539)+LEN(F539)+LEN(G539)+LEN(H539)+LEN(I539)+LEN(J539)+LEN(K539)+LEN(M539)+LEN(N539)+LEN(O539)+LEN(P539)+LEN(Q539)+LEN(R539)+LEN(S539)+LEN(T539))=0,"",IF(OR(A539="",B539="",C539="",D539="",E539="",J539="",K539="",N539=""),"⚠ Champ obligatoire manquant",IF(AND(ISNUMBER(K539),ISNUMBER(J539),N(K539)&gt;N(J539)),"⚠ Prix Autopiec &gt; prix public",IF(COUNTIFS($A$2:$A$1001,A539,$B$2:$B$1001,B539)&gt;1,"⚠ Référence en double","✔ OK"))))</f>
        <v/>
      </c>
    </row>
    <row r="540" customFormat="false" ht="15" hidden="false" customHeight="false" outlineLevel="0" collapsed="false">
      <c r="A540" s="11"/>
      <c r="B540" s="27"/>
      <c r="C540" s="11"/>
      <c r="D540" s="11"/>
      <c r="E540" s="11"/>
      <c r="F540" s="27"/>
      <c r="G540" s="27"/>
      <c r="H540" s="11"/>
      <c r="I540" s="11"/>
      <c r="J540" s="12"/>
      <c r="K540" s="12"/>
      <c r="L540" s="28" t="str">
        <f aca="false">IF(AND(ISNUMBER(J540),ISNUMBER(K540),N(J540)&gt;0),1-K540/J540,"")</f>
        <v/>
      </c>
      <c r="M540" s="29"/>
      <c r="N540" s="30"/>
      <c r="O540" s="30"/>
      <c r="P540" s="11"/>
      <c r="Q540" s="31"/>
      <c r="R540" s="11"/>
      <c r="S540" s="11"/>
      <c r="T540" s="11"/>
      <c r="U540" s="32" t="str">
        <f aca="false">IF((LEN(A540)+LEN(B540)+LEN(C540)+LEN(D540)+LEN(E540)+LEN(F540)+LEN(G540)+LEN(H540)+LEN(I540)+LEN(J540)+LEN(K540)+LEN(M540)+LEN(N540)+LEN(O540)+LEN(P540)+LEN(Q540)+LEN(R540)+LEN(S540)+LEN(T540))=0,"",IF(OR(A540="",B540="",C540="",D540="",E540="",J540="",K540="",N540=""),"⚠ Champ obligatoire manquant",IF(AND(ISNUMBER(K540),ISNUMBER(J540),N(K540)&gt;N(J540)),"⚠ Prix Autopiec &gt; prix public",IF(COUNTIFS($A$2:$A$1001,A540,$B$2:$B$1001,B540)&gt;1,"⚠ Référence en double","✔ OK"))))</f>
        <v/>
      </c>
    </row>
    <row r="541" customFormat="false" ht="15" hidden="false" customHeight="false" outlineLevel="0" collapsed="false">
      <c r="A541" s="11"/>
      <c r="B541" s="27"/>
      <c r="C541" s="11"/>
      <c r="D541" s="11"/>
      <c r="E541" s="11"/>
      <c r="F541" s="27"/>
      <c r="G541" s="27"/>
      <c r="H541" s="11"/>
      <c r="I541" s="11"/>
      <c r="J541" s="12"/>
      <c r="K541" s="12"/>
      <c r="L541" s="28" t="str">
        <f aca="false">IF(AND(ISNUMBER(J541),ISNUMBER(K541),N(J541)&gt;0),1-K541/J541,"")</f>
        <v/>
      </c>
      <c r="M541" s="29"/>
      <c r="N541" s="30"/>
      <c r="O541" s="30"/>
      <c r="P541" s="11"/>
      <c r="Q541" s="31"/>
      <c r="R541" s="11"/>
      <c r="S541" s="11"/>
      <c r="T541" s="11"/>
      <c r="U541" s="32" t="str">
        <f aca="false">IF((LEN(A541)+LEN(B541)+LEN(C541)+LEN(D541)+LEN(E541)+LEN(F541)+LEN(G541)+LEN(H541)+LEN(I541)+LEN(J541)+LEN(K541)+LEN(M541)+LEN(N541)+LEN(O541)+LEN(P541)+LEN(Q541)+LEN(R541)+LEN(S541)+LEN(T541))=0,"",IF(OR(A541="",B541="",C541="",D541="",E541="",J541="",K541="",N541=""),"⚠ Champ obligatoire manquant",IF(AND(ISNUMBER(K541),ISNUMBER(J541),N(K541)&gt;N(J541)),"⚠ Prix Autopiec &gt; prix public",IF(COUNTIFS($A$2:$A$1001,A541,$B$2:$B$1001,B541)&gt;1,"⚠ Référence en double","✔ OK"))))</f>
        <v/>
      </c>
    </row>
    <row r="542" customFormat="false" ht="15" hidden="false" customHeight="false" outlineLevel="0" collapsed="false">
      <c r="A542" s="11"/>
      <c r="B542" s="27"/>
      <c r="C542" s="11"/>
      <c r="D542" s="11"/>
      <c r="E542" s="11"/>
      <c r="F542" s="27"/>
      <c r="G542" s="27"/>
      <c r="H542" s="11"/>
      <c r="I542" s="11"/>
      <c r="J542" s="12"/>
      <c r="K542" s="12"/>
      <c r="L542" s="28" t="str">
        <f aca="false">IF(AND(ISNUMBER(J542),ISNUMBER(K542),N(J542)&gt;0),1-K542/J542,"")</f>
        <v/>
      </c>
      <c r="M542" s="29"/>
      <c r="N542" s="30"/>
      <c r="O542" s="30"/>
      <c r="P542" s="11"/>
      <c r="Q542" s="31"/>
      <c r="R542" s="11"/>
      <c r="S542" s="11"/>
      <c r="T542" s="11"/>
      <c r="U542" s="32" t="str">
        <f aca="false">IF((LEN(A542)+LEN(B542)+LEN(C542)+LEN(D542)+LEN(E542)+LEN(F542)+LEN(G542)+LEN(H542)+LEN(I542)+LEN(J542)+LEN(K542)+LEN(M542)+LEN(N542)+LEN(O542)+LEN(P542)+LEN(Q542)+LEN(R542)+LEN(S542)+LEN(T542))=0,"",IF(OR(A542="",B542="",C542="",D542="",E542="",J542="",K542="",N542=""),"⚠ Champ obligatoire manquant",IF(AND(ISNUMBER(K542),ISNUMBER(J542),N(K542)&gt;N(J542)),"⚠ Prix Autopiec &gt; prix public",IF(COUNTIFS($A$2:$A$1001,A542,$B$2:$B$1001,B542)&gt;1,"⚠ Référence en double","✔ OK"))))</f>
        <v/>
      </c>
    </row>
    <row r="543" customFormat="false" ht="15" hidden="false" customHeight="false" outlineLevel="0" collapsed="false">
      <c r="A543" s="11"/>
      <c r="B543" s="27"/>
      <c r="C543" s="11"/>
      <c r="D543" s="11"/>
      <c r="E543" s="11"/>
      <c r="F543" s="27"/>
      <c r="G543" s="27"/>
      <c r="H543" s="11"/>
      <c r="I543" s="11"/>
      <c r="J543" s="12"/>
      <c r="K543" s="12"/>
      <c r="L543" s="28" t="str">
        <f aca="false">IF(AND(ISNUMBER(J543),ISNUMBER(K543),N(J543)&gt;0),1-K543/J543,"")</f>
        <v/>
      </c>
      <c r="M543" s="29"/>
      <c r="N543" s="30"/>
      <c r="O543" s="30"/>
      <c r="P543" s="11"/>
      <c r="Q543" s="31"/>
      <c r="R543" s="11"/>
      <c r="S543" s="11"/>
      <c r="T543" s="11"/>
      <c r="U543" s="32" t="str">
        <f aca="false">IF((LEN(A543)+LEN(B543)+LEN(C543)+LEN(D543)+LEN(E543)+LEN(F543)+LEN(G543)+LEN(H543)+LEN(I543)+LEN(J543)+LEN(K543)+LEN(M543)+LEN(N543)+LEN(O543)+LEN(P543)+LEN(Q543)+LEN(R543)+LEN(S543)+LEN(T543))=0,"",IF(OR(A543="",B543="",C543="",D543="",E543="",J543="",K543="",N543=""),"⚠ Champ obligatoire manquant",IF(AND(ISNUMBER(K543),ISNUMBER(J543),N(K543)&gt;N(J543)),"⚠ Prix Autopiec &gt; prix public",IF(COUNTIFS($A$2:$A$1001,A543,$B$2:$B$1001,B543)&gt;1,"⚠ Référence en double","✔ OK"))))</f>
        <v/>
      </c>
    </row>
    <row r="544" customFormat="false" ht="15" hidden="false" customHeight="false" outlineLevel="0" collapsed="false">
      <c r="A544" s="11"/>
      <c r="B544" s="27"/>
      <c r="C544" s="11"/>
      <c r="D544" s="11"/>
      <c r="E544" s="11"/>
      <c r="F544" s="27"/>
      <c r="G544" s="27"/>
      <c r="H544" s="11"/>
      <c r="I544" s="11"/>
      <c r="J544" s="12"/>
      <c r="K544" s="12"/>
      <c r="L544" s="28" t="str">
        <f aca="false">IF(AND(ISNUMBER(J544),ISNUMBER(K544),N(J544)&gt;0),1-K544/J544,"")</f>
        <v/>
      </c>
      <c r="M544" s="29"/>
      <c r="N544" s="30"/>
      <c r="O544" s="30"/>
      <c r="P544" s="11"/>
      <c r="Q544" s="31"/>
      <c r="R544" s="11"/>
      <c r="S544" s="11"/>
      <c r="T544" s="11"/>
      <c r="U544" s="32" t="str">
        <f aca="false">IF((LEN(A544)+LEN(B544)+LEN(C544)+LEN(D544)+LEN(E544)+LEN(F544)+LEN(G544)+LEN(H544)+LEN(I544)+LEN(J544)+LEN(K544)+LEN(M544)+LEN(N544)+LEN(O544)+LEN(P544)+LEN(Q544)+LEN(R544)+LEN(S544)+LEN(T544))=0,"",IF(OR(A544="",B544="",C544="",D544="",E544="",J544="",K544="",N544=""),"⚠ Champ obligatoire manquant",IF(AND(ISNUMBER(K544),ISNUMBER(J544),N(K544)&gt;N(J544)),"⚠ Prix Autopiec &gt; prix public",IF(COUNTIFS($A$2:$A$1001,A544,$B$2:$B$1001,B544)&gt;1,"⚠ Référence en double","✔ OK"))))</f>
        <v/>
      </c>
    </row>
    <row r="545" customFormat="false" ht="15" hidden="false" customHeight="false" outlineLevel="0" collapsed="false">
      <c r="A545" s="11"/>
      <c r="B545" s="27"/>
      <c r="C545" s="11"/>
      <c r="D545" s="11"/>
      <c r="E545" s="11"/>
      <c r="F545" s="27"/>
      <c r="G545" s="27"/>
      <c r="H545" s="11"/>
      <c r="I545" s="11"/>
      <c r="J545" s="12"/>
      <c r="K545" s="12"/>
      <c r="L545" s="28" t="str">
        <f aca="false">IF(AND(ISNUMBER(J545),ISNUMBER(K545),N(J545)&gt;0),1-K545/J545,"")</f>
        <v/>
      </c>
      <c r="M545" s="29"/>
      <c r="N545" s="30"/>
      <c r="O545" s="30"/>
      <c r="P545" s="11"/>
      <c r="Q545" s="31"/>
      <c r="R545" s="11"/>
      <c r="S545" s="11"/>
      <c r="T545" s="11"/>
      <c r="U545" s="32" t="str">
        <f aca="false">IF((LEN(A545)+LEN(B545)+LEN(C545)+LEN(D545)+LEN(E545)+LEN(F545)+LEN(G545)+LEN(H545)+LEN(I545)+LEN(J545)+LEN(K545)+LEN(M545)+LEN(N545)+LEN(O545)+LEN(P545)+LEN(Q545)+LEN(R545)+LEN(S545)+LEN(T545))=0,"",IF(OR(A545="",B545="",C545="",D545="",E545="",J545="",K545="",N545=""),"⚠ Champ obligatoire manquant",IF(AND(ISNUMBER(K545),ISNUMBER(J545),N(K545)&gt;N(J545)),"⚠ Prix Autopiec &gt; prix public",IF(COUNTIFS($A$2:$A$1001,A545,$B$2:$B$1001,B545)&gt;1,"⚠ Référence en double","✔ OK"))))</f>
        <v/>
      </c>
    </row>
    <row r="546" customFormat="false" ht="15" hidden="false" customHeight="false" outlineLevel="0" collapsed="false">
      <c r="A546" s="11"/>
      <c r="B546" s="27"/>
      <c r="C546" s="11"/>
      <c r="D546" s="11"/>
      <c r="E546" s="11"/>
      <c r="F546" s="27"/>
      <c r="G546" s="27"/>
      <c r="H546" s="11"/>
      <c r="I546" s="11"/>
      <c r="J546" s="12"/>
      <c r="K546" s="12"/>
      <c r="L546" s="28" t="str">
        <f aca="false">IF(AND(ISNUMBER(J546),ISNUMBER(K546),N(J546)&gt;0),1-K546/J546,"")</f>
        <v/>
      </c>
      <c r="M546" s="29"/>
      <c r="N546" s="30"/>
      <c r="O546" s="30"/>
      <c r="P546" s="11"/>
      <c r="Q546" s="31"/>
      <c r="R546" s="11"/>
      <c r="S546" s="11"/>
      <c r="T546" s="11"/>
      <c r="U546" s="32" t="str">
        <f aca="false">IF((LEN(A546)+LEN(B546)+LEN(C546)+LEN(D546)+LEN(E546)+LEN(F546)+LEN(G546)+LEN(H546)+LEN(I546)+LEN(J546)+LEN(K546)+LEN(M546)+LEN(N546)+LEN(O546)+LEN(P546)+LEN(Q546)+LEN(R546)+LEN(S546)+LEN(T546))=0,"",IF(OR(A546="",B546="",C546="",D546="",E546="",J546="",K546="",N546=""),"⚠ Champ obligatoire manquant",IF(AND(ISNUMBER(K546),ISNUMBER(J546),N(K546)&gt;N(J546)),"⚠ Prix Autopiec &gt; prix public",IF(COUNTIFS($A$2:$A$1001,A546,$B$2:$B$1001,B546)&gt;1,"⚠ Référence en double","✔ OK"))))</f>
        <v/>
      </c>
    </row>
    <row r="547" customFormat="false" ht="15" hidden="false" customHeight="false" outlineLevel="0" collapsed="false">
      <c r="A547" s="11"/>
      <c r="B547" s="27"/>
      <c r="C547" s="11"/>
      <c r="D547" s="11"/>
      <c r="E547" s="11"/>
      <c r="F547" s="27"/>
      <c r="G547" s="27"/>
      <c r="H547" s="11"/>
      <c r="I547" s="11"/>
      <c r="J547" s="12"/>
      <c r="K547" s="12"/>
      <c r="L547" s="28" t="str">
        <f aca="false">IF(AND(ISNUMBER(J547),ISNUMBER(K547),N(J547)&gt;0),1-K547/J547,"")</f>
        <v/>
      </c>
      <c r="M547" s="29"/>
      <c r="N547" s="30"/>
      <c r="O547" s="30"/>
      <c r="P547" s="11"/>
      <c r="Q547" s="31"/>
      <c r="R547" s="11"/>
      <c r="S547" s="11"/>
      <c r="T547" s="11"/>
      <c r="U547" s="32" t="str">
        <f aca="false">IF((LEN(A547)+LEN(B547)+LEN(C547)+LEN(D547)+LEN(E547)+LEN(F547)+LEN(G547)+LEN(H547)+LEN(I547)+LEN(J547)+LEN(K547)+LEN(M547)+LEN(N547)+LEN(O547)+LEN(P547)+LEN(Q547)+LEN(R547)+LEN(S547)+LEN(T547))=0,"",IF(OR(A547="",B547="",C547="",D547="",E547="",J547="",K547="",N547=""),"⚠ Champ obligatoire manquant",IF(AND(ISNUMBER(K547),ISNUMBER(J547),N(K547)&gt;N(J547)),"⚠ Prix Autopiec &gt; prix public",IF(COUNTIFS($A$2:$A$1001,A547,$B$2:$B$1001,B547)&gt;1,"⚠ Référence en double","✔ OK"))))</f>
        <v/>
      </c>
    </row>
    <row r="548" customFormat="false" ht="15" hidden="false" customHeight="false" outlineLevel="0" collapsed="false">
      <c r="A548" s="11"/>
      <c r="B548" s="27"/>
      <c r="C548" s="11"/>
      <c r="D548" s="11"/>
      <c r="E548" s="11"/>
      <c r="F548" s="27"/>
      <c r="G548" s="27"/>
      <c r="H548" s="11"/>
      <c r="I548" s="11"/>
      <c r="J548" s="12"/>
      <c r="K548" s="12"/>
      <c r="L548" s="28" t="str">
        <f aca="false">IF(AND(ISNUMBER(J548),ISNUMBER(K548),N(J548)&gt;0),1-K548/J548,"")</f>
        <v/>
      </c>
      <c r="M548" s="29"/>
      <c r="N548" s="30"/>
      <c r="O548" s="30"/>
      <c r="P548" s="11"/>
      <c r="Q548" s="31"/>
      <c r="R548" s="11"/>
      <c r="S548" s="11"/>
      <c r="T548" s="11"/>
      <c r="U548" s="32" t="str">
        <f aca="false">IF((LEN(A548)+LEN(B548)+LEN(C548)+LEN(D548)+LEN(E548)+LEN(F548)+LEN(G548)+LEN(H548)+LEN(I548)+LEN(J548)+LEN(K548)+LEN(M548)+LEN(N548)+LEN(O548)+LEN(P548)+LEN(Q548)+LEN(R548)+LEN(S548)+LEN(T548))=0,"",IF(OR(A548="",B548="",C548="",D548="",E548="",J548="",K548="",N548=""),"⚠ Champ obligatoire manquant",IF(AND(ISNUMBER(K548),ISNUMBER(J548),N(K548)&gt;N(J548)),"⚠ Prix Autopiec &gt; prix public",IF(COUNTIFS($A$2:$A$1001,A548,$B$2:$B$1001,B548)&gt;1,"⚠ Référence en double","✔ OK"))))</f>
        <v/>
      </c>
    </row>
    <row r="549" customFormat="false" ht="15" hidden="false" customHeight="false" outlineLevel="0" collapsed="false">
      <c r="A549" s="11"/>
      <c r="B549" s="27"/>
      <c r="C549" s="11"/>
      <c r="D549" s="11"/>
      <c r="E549" s="11"/>
      <c r="F549" s="27"/>
      <c r="G549" s="27"/>
      <c r="H549" s="11"/>
      <c r="I549" s="11"/>
      <c r="J549" s="12"/>
      <c r="K549" s="12"/>
      <c r="L549" s="28" t="str">
        <f aca="false">IF(AND(ISNUMBER(J549),ISNUMBER(K549),N(J549)&gt;0),1-K549/J549,"")</f>
        <v/>
      </c>
      <c r="M549" s="29"/>
      <c r="N549" s="30"/>
      <c r="O549" s="30"/>
      <c r="P549" s="11"/>
      <c r="Q549" s="31"/>
      <c r="R549" s="11"/>
      <c r="S549" s="11"/>
      <c r="T549" s="11"/>
      <c r="U549" s="32" t="str">
        <f aca="false">IF((LEN(A549)+LEN(B549)+LEN(C549)+LEN(D549)+LEN(E549)+LEN(F549)+LEN(G549)+LEN(H549)+LEN(I549)+LEN(J549)+LEN(K549)+LEN(M549)+LEN(N549)+LEN(O549)+LEN(P549)+LEN(Q549)+LEN(R549)+LEN(S549)+LEN(T549))=0,"",IF(OR(A549="",B549="",C549="",D549="",E549="",J549="",K549="",N549=""),"⚠ Champ obligatoire manquant",IF(AND(ISNUMBER(K549),ISNUMBER(J549),N(K549)&gt;N(J549)),"⚠ Prix Autopiec &gt; prix public",IF(COUNTIFS($A$2:$A$1001,A549,$B$2:$B$1001,B549)&gt;1,"⚠ Référence en double","✔ OK"))))</f>
        <v/>
      </c>
    </row>
    <row r="550" customFormat="false" ht="15" hidden="false" customHeight="false" outlineLevel="0" collapsed="false">
      <c r="A550" s="11"/>
      <c r="B550" s="27"/>
      <c r="C550" s="11"/>
      <c r="D550" s="11"/>
      <c r="E550" s="11"/>
      <c r="F550" s="27"/>
      <c r="G550" s="27"/>
      <c r="H550" s="11"/>
      <c r="I550" s="11"/>
      <c r="J550" s="12"/>
      <c r="K550" s="12"/>
      <c r="L550" s="28" t="str">
        <f aca="false">IF(AND(ISNUMBER(J550),ISNUMBER(K550),N(J550)&gt;0),1-K550/J550,"")</f>
        <v/>
      </c>
      <c r="M550" s="29"/>
      <c r="N550" s="30"/>
      <c r="O550" s="30"/>
      <c r="P550" s="11"/>
      <c r="Q550" s="31"/>
      <c r="R550" s="11"/>
      <c r="S550" s="11"/>
      <c r="T550" s="11"/>
      <c r="U550" s="32" t="str">
        <f aca="false">IF((LEN(A550)+LEN(B550)+LEN(C550)+LEN(D550)+LEN(E550)+LEN(F550)+LEN(G550)+LEN(H550)+LEN(I550)+LEN(J550)+LEN(K550)+LEN(M550)+LEN(N550)+LEN(O550)+LEN(P550)+LEN(Q550)+LEN(R550)+LEN(S550)+LEN(T550))=0,"",IF(OR(A550="",B550="",C550="",D550="",E550="",J550="",K550="",N550=""),"⚠ Champ obligatoire manquant",IF(AND(ISNUMBER(K550),ISNUMBER(J550),N(K550)&gt;N(J550)),"⚠ Prix Autopiec &gt; prix public",IF(COUNTIFS($A$2:$A$1001,A550,$B$2:$B$1001,B550)&gt;1,"⚠ Référence en double","✔ OK"))))</f>
        <v/>
      </c>
    </row>
    <row r="551" customFormat="false" ht="15" hidden="false" customHeight="false" outlineLevel="0" collapsed="false">
      <c r="A551" s="11"/>
      <c r="B551" s="27"/>
      <c r="C551" s="11"/>
      <c r="D551" s="11"/>
      <c r="E551" s="11"/>
      <c r="F551" s="27"/>
      <c r="G551" s="27"/>
      <c r="H551" s="11"/>
      <c r="I551" s="11"/>
      <c r="J551" s="12"/>
      <c r="K551" s="12"/>
      <c r="L551" s="28" t="str">
        <f aca="false">IF(AND(ISNUMBER(J551),ISNUMBER(K551),N(J551)&gt;0),1-K551/J551,"")</f>
        <v/>
      </c>
      <c r="M551" s="29"/>
      <c r="N551" s="30"/>
      <c r="O551" s="30"/>
      <c r="P551" s="11"/>
      <c r="Q551" s="31"/>
      <c r="R551" s="11"/>
      <c r="S551" s="11"/>
      <c r="T551" s="11"/>
      <c r="U551" s="32" t="str">
        <f aca="false">IF((LEN(A551)+LEN(B551)+LEN(C551)+LEN(D551)+LEN(E551)+LEN(F551)+LEN(G551)+LEN(H551)+LEN(I551)+LEN(J551)+LEN(K551)+LEN(M551)+LEN(N551)+LEN(O551)+LEN(P551)+LEN(Q551)+LEN(R551)+LEN(S551)+LEN(T551))=0,"",IF(OR(A551="",B551="",C551="",D551="",E551="",J551="",K551="",N551=""),"⚠ Champ obligatoire manquant",IF(AND(ISNUMBER(K551),ISNUMBER(J551),N(K551)&gt;N(J551)),"⚠ Prix Autopiec &gt; prix public",IF(COUNTIFS($A$2:$A$1001,A551,$B$2:$B$1001,B551)&gt;1,"⚠ Référence en double","✔ OK"))))</f>
        <v/>
      </c>
    </row>
    <row r="552" customFormat="false" ht="15" hidden="false" customHeight="false" outlineLevel="0" collapsed="false">
      <c r="A552" s="11"/>
      <c r="B552" s="27"/>
      <c r="C552" s="11"/>
      <c r="D552" s="11"/>
      <c r="E552" s="11"/>
      <c r="F552" s="27"/>
      <c r="G552" s="27"/>
      <c r="H552" s="11"/>
      <c r="I552" s="11"/>
      <c r="J552" s="12"/>
      <c r="K552" s="12"/>
      <c r="L552" s="28" t="str">
        <f aca="false">IF(AND(ISNUMBER(J552),ISNUMBER(K552),N(J552)&gt;0),1-K552/J552,"")</f>
        <v/>
      </c>
      <c r="M552" s="29"/>
      <c r="N552" s="30"/>
      <c r="O552" s="30"/>
      <c r="P552" s="11"/>
      <c r="Q552" s="31"/>
      <c r="R552" s="11"/>
      <c r="S552" s="11"/>
      <c r="T552" s="11"/>
      <c r="U552" s="32" t="str">
        <f aca="false">IF((LEN(A552)+LEN(B552)+LEN(C552)+LEN(D552)+LEN(E552)+LEN(F552)+LEN(G552)+LEN(H552)+LEN(I552)+LEN(J552)+LEN(K552)+LEN(M552)+LEN(N552)+LEN(O552)+LEN(P552)+LEN(Q552)+LEN(R552)+LEN(S552)+LEN(T552))=0,"",IF(OR(A552="",B552="",C552="",D552="",E552="",J552="",K552="",N552=""),"⚠ Champ obligatoire manquant",IF(AND(ISNUMBER(K552),ISNUMBER(J552),N(K552)&gt;N(J552)),"⚠ Prix Autopiec &gt; prix public",IF(COUNTIFS($A$2:$A$1001,A552,$B$2:$B$1001,B552)&gt;1,"⚠ Référence en double","✔ OK"))))</f>
        <v/>
      </c>
    </row>
    <row r="553" customFormat="false" ht="15" hidden="false" customHeight="false" outlineLevel="0" collapsed="false">
      <c r="A553" s="11"/>
      <c r="B553" s="27"/>
      <c r="C553" s="11"/>
      <c r="D553" s="11"/>
      <c r="E553" s="11"/>
      <c r="F553" s="27"/>
      <c r="G553" s="27"/>
      <c r="H553" s="11"/>
      <c r="I553" s="11"/>
      <c r="J553" s="12"/>
      <c r="K553" s="12"/>
      <c r="L553" s="28" t="str">
        <f aca="false">IF(AND(ISNUMBER(J553),ISNUMBER(K553),N(J553)&gt;0),1-K553/J553,"")</f>
        <v/>
      </c>
      <c r="M553" s="29"/>
      <c r="N553" s="30"/>
      <c r="O553" s="30"/>
      <c r="P553" s="11"/>
      <c r="Q553" s="31"/>
      <c r="R553" s="11"/>
      <c r="S553" s="11"/>
      <c r="T553" s="11"/>
      <c r="U553" s="32" t="str">
        <f aca="false">IF((LEN(A553)+LEN(B553)+LEN(C553)+LEN(D553)+LEN(E553)+LEN(F553)+LEN(G553)+LEN(H553)+LEN(I553)+LEN(J553)+LEN(K553)+LEN(M553)+LEN(N553)+LEN(O553)+LEN(P553)+LEN(Q553)+LEN(R553)+LEN(S553)+LEN(T553))=0,"",IF(OR(A553="",B553="",C553="",D553="",E553="",J553="",K553="",N553=""),"⚠ Champ obligatoire manquant",IF(AND(ISNUMBER(K553),ISNUMBER(J553),N(K553)&gt;N(J553)),"⚠ Prix Autopiec &gt; prix public",IF(COUNTIFS($A$2:$A$1001,A553,$B$2:$B$1001,B553)&gt;1,"⚠ Référence en double","✔ OK"))))</f>
        <v/>
      </c>
    </row>
    <row r="554" customFormat="false" ht="15" hidden="false" customHeight="false" outlineLevel="0" collapsed="false">
      <c r="A554" s="11"/>
      <c r="B554" s="27"/>
      <c r="C554" s="11"/>
      <c r="D554" s="11"/>
      <c r="E554" s="11"/>
      <c r="F554" s="27"/>
      <c r="G554" s="27"/>
      <c r="H554" s="11"/>
      <c r="I554" s="11"/>
      <c r="J554" s="12"/>
      <c r="K554" s="12"/>
      <c r="L554" s="28" t="str">
        <f aca="false">IF(AND(ISNUMBER(J554),ISNUMBER(K554),N(J554)&gt;0),1-K554/J554,"")</f>
        <v/>
      </c>
      <c r="M554" s="29"/>
      <c r="N554" s="30"/>
      <c r="O554" s="30"/>
      <c r="P554" s="11"/>
      <c r="Q554" s="31"/>
      <c r="R554" s="11"/>
      <c r="S554" s="11"/>
      <c r="T554" s="11"/>
      <c r="U554" s="32" t="str">
        <f aca="false">IF((LEN(A554)+LEN(B554)+LEN(C554)+LEN(D554)+LEN(E554)+LEN(F554)+LEN(G554)+LEN(H554)+LEN(I554)+LEN(J554)+LEN(K554)+LEN(M554)+LEN(N554)+LEN(O554)+LEN(P554)+LEN(Q554)+LEN(R554)+LEN(S554)+LEN(T554))=0,"",IF(OR(A554="",B554="",C554="",D554="",E554="",J554="",K554="",N554=""),"⚠ Champ obligatoire manquant",IF(AND(ISNUMBER(K554),ISNUMBER(J554),N(K554)&gt;N(J554)),"⚠ Prix Autopiec &gt; prix public",IF(COUNTIFS($A$2:$A$1001,A554,$B$2:$B$1001,B554)&gt;1,"⚠ Référence en double","✔ OK"))))</f>
        <v/>
      </c>
    </row>
    <row r="555" customFormat="false" ht="15" hidden="false" customHeight="false" outlineLevel="0" collapsed="false">
      <c r="A555" s="11"/>
      <c r="B555" s="27"/>
      <c r="C555" s="11"/>
      <c r="D555" s="11"/>
      <c r="E555" s="11"/>
      <c r="F555" s="27"/>
      <c r="G555" s="27"/>
      <c r="H555" s="11"/>
      <c r="I555" s="11"/>
      <c r="J555" s="12"/>
      <c r="K555" s="12"/>
      <c r="L555" s="28" t="str">
        <f aca="false">IF(AND(ISNUMBER(J555),ISNUMBER(K555),N(J555)&gt;0),1-K555/J555,"")</f>
        <v/>
      </c>
      <c r="M555" s="29"/>
      <c r="N555" s="30"/>
      <c r="O555" s="30"/>
      <c r="P555" s="11"/>
      <c r="Q555" s="31"/>
      <c r="R555" s="11"/>
      <c r="S555" s="11"/>
      <c r="T555" s="11"/>
      <c r="U555" s="32" t="str">
        <f aca="false">IF((LEN(A555)+LEN(B555)+LEN(C555)+LEN(D555)+LEN(E555)+LEN(F555)+LEN(G555)+LEN(H555)+LEN(I555)+LEN(J555)+LEN(K555)+LEN(M555)+LEN(N555)+LEN(O555)+LEN(P555)+LEN(Q555)+LEN(R555)+LEN(S555)+LEN(T555))=0,"",IF(OR(A555="",B555="",C555="",D555="",E555="",J555="",K555="",N555=""),"⚠ Champ obligatoire manquant",IF(AND(ISNUMBER(K555),ISNUMBER(J555),N(K555)&gt;N(J555)),"⚠ Prix Autopiec &gt; prix public",IF(COUNTIFS($A$2:$A$1001,A555,$B$2:$B$1001,B555)&gt;1,"⚠ Référence en double","✔ OK"))))</f>
        <v/>
      </c>
    </row>
    <row r="556" customFormat="false" ht="15" hidden="false" customHeight="false" outlineLevel="0" collapsed="false">
      <c r="A556" s="11"/>
      <c r="B556" s="27"/>
      <c r="C556" s="11"/>
      <c r="D556" s="11"/>
      <c r="E556" s="11"/>
      <c r="F556" s="27"/>
      <c r="G556" s="27"/>
      <c r="H556" s="11"/>
      <c r="I556" s="11"/>
      <c r="J556" s="12"/>
      <c r="K556" s="12"/>
      <c r="L556" s="28" t="str">
        <f aca="false">IF(AND(ISNUMBER(J556),ISNUMBER(K556),N(J556)&gt;0),1-K556/J556,"")</f>
        <v/>
      </c>
      <c r="M556" s="29"/>
      <c r="N556" s="30"/>
      <c r="O556" s="30"/>
      <c r="P556" s="11"/>
      <c r="Q556" s="31"/>
      <c r="R556" s="11"/>
      <c r="S556" s="11"/>
      <c r="T556" s="11"/>
      <c r="U556" s="32" t="str">
        <f aca="false">IF((LEN(A556)+LEN(B556)+LEN(C556)+LEN(D556)+LEN(E556)+LEN(F556)+LEN(G556)+LEN(H556)+LEN(I556)+LEN(J556)+LEN(K556)+LEN(M556)+LEN(N556)+LEN(O556)+LEN(P556)+LEN(Q556)+LEN(R556)+LEN(S556)+LEN(T556))=0,"",IF(OR(A556="",B556="",C556="",D556="",E556="",J556="",K556="",N556=""),"⚠ Champ obligatoire manquant",IF(AND(ISNUMBER(K556),ISNUMBER(J556),N(K556)&gt;N(J556)),"⚠ Prix Autopiec &gt; prix public",IF(COUNTIFS($A$2:$A$1001,A556,$B$2:$B$1001,B556)&gt;1,"⚠ Référence en double","✔ OK"))))</f>
        <v/>
      </c>
    </row>
    <row r="557" customFormat="false" ht="15" hidden="false" customHeight="false" outlineLevel="0" collapsed="false">
      <c r="A557" s="11"/>
      <c r="B557" s="27"/>
      <c r="C557" s="11"/>
      <c r="D557" s="11"/>
      <c r="E557" s="11"/>
      <c r="F557" s="27"/>
      <c r="G557" s="27"/>
      <c r="H557" s="11"/>
      <c r="I557" s="11"/>
      <c r="J557" s="12"/>
      <c r="K557" s="12"/>
      <c r="L557" s="28" t="str">
        <f aca="false">IF(AND(ISNUMBER(J557),ISNUMBER(K557),N(J557)&gt;0),1-K557/J557,"")</f>
        <v/>
      </c>
      <c r="M557" s="29"/>
      <c r="N557" s="30"/>
      <c r="O557" s="30"/>
      <c r="P557" s="11"/>
      <c r="Q557" s="31"/>
      <c r="R557" s="11"/>
      <c r="S557" s="11"/>
      <c r="T557" s="11"/>
      <c r="U557" s="32" t="str">
        <f aca="false">IF((LEN(A557)+LEN(B557)+LEN(C557)+LEN(D557)+LEN(E557)+LEN(F557)+LEN(G557)+LEN(H557)+LEN(I557)+LEN(J557)+LEN(K557)+LEN(M557)+LEN(N557)+LEN(O557)+LEN(P557)+LEN(Q557)+LEN(R557)+LEN(S557)+LEN(T557))=0,"",IF(OR(A557="",B557="",C557="",D557="",E557="",J557="",K557="",N557=""),"⚠ Champ obligatoire manquant",IF(AND(ISNUMBER(K557),ISNUMBER(J557),N(K557)&gt;N(J557)),"⚠ Prix Autopiec &gt; prix public",IF(COUNTIFS($A$2:$A$1001,A557,$B$2:$B$1001,B557)&gt;1,"⚠ Référence en double","✔ OK"))))</f>
        <v/>
      </c>
    </row>
    <row r="558" customFormat="false" ht="15" hidden="false" customHeight="false" outlineLevel="0" collapsed="false">
      <c r="A558" s="11"/>
      <c r="B558" s="27"/>
      <c r="C558" s="11"/>
      <c r="D558" s="11"/>
      <c r="E558" s="11"/>
      <c r="F558" s="27"/>
      <c r="G558" s="27"/>
      <c r="H558" s="11"/>
      <c r="I558" s="11"/>
      <c r="J558" s="12"/>
      <c r="K558" s="12"/>
      <c r="L558" s="28" t="str">
        <f aca="false">IF(AND(ISNUMBER(J558),ISNUMBER(K558),N(J558)&gt;0),1-K558/J558,"")</f>
        <v/>
      </c>
      <c r="M558" s="29"/>
      <c r="N558" s="30"/>
      <c r="O558" s="30"/>
      <c r="P558" s="11"/>
      <c r="Q558" s="31"/>
      <c r="R558" s="11"/>
      <c r="S558" s="11"/>
      <c r="T558" s="11"/>
      <c r="U558" s="32" t="str">
        <f aca="false">IF((LEN(A558)+LEN(B558)+LEN(C558)+LEN(D558)+LEN(E558)+LEN(F558)+LEN(G558)+LEN(H558)+LEN(I558)+LEN(J558)+LEN(K558)+LEN(M558)+LEN(N558)+LEN(O558)+LEN(P558)+LEN(Q558)+LEN(R558)+LEN(S558)+LEN(T558))=0,"",IF(OR(A558="",B558="",C558="",D558="",E558="",J558="",K558="",N558=""),"⚠ Champ obligatoire manquant",IF(AND(ISNUMBER(K558),ISNUMBER(J558),N(K558)&gt;N(J558)),"⚠ Prix Autopiec &gt; prix public",IF(COUNTIFS($A$2:$A$1001,A558,$B$2:$B$1001,B558)&gt;1,"⚠ Référence en double","✔ OK"))))</f>
        <v/>
      </c>
    </row>
    <row r="559" customFormat="false" ht="15" hidden="false" customHeight="false" outlineLevel="0" collapsed="false">
      <c r="A559" s="11"/>
      <c r="B559" s="27"/>
      <c r="C559" s="11"/>
      <c r="D559" s="11"/>
      <c r="E559" s="11"/>
      <c r="F559" s="27"/>
      <c r="G559" s="27"/>
      <c r="H559" s="11"/>
      <c r="I559" s="11"/>
      <c r="J559" s="12"/>
      <c r="K559" s="12"/>
      <c r="L559" s="28" t="str">
        <f aca="false">IF(AND(ISNUMBER(J559),ISNUMBER(K559),N(J559)&gt;0),1-K559/J559,"")</f>
        <v/>
      </c>
      <c r="M559" s="29"/>
      <c r="N559" s="30"/>
      <c r="O559" s="30"/>
      <c r="P559" s="11"/>
      <c r="Q559" s="31"/>
      <c r="R559" s="11"/>
      <c r="S559" s="11"/>
      <c r="T559" s="11"/>
      <c r="U559" s="32" t="str">
        <f aca="false">IF((LEN(A559)+LEN(B559)+LEN(C559)+LEN(D559)+LEN(E559)+LEN(F559)+LEN(G559)+LEN(H559)+LEN(I559)+LEN(J559)+LEN(K559)+LEN(M559)+LEN(N559)+LEN(O559)+LEN(P559)+LEN(Q559)+LEN(R559)+LEN(S559)+LEN(T559))=0,"",IF(OR(A559="",B559="",C559="",D559="",E559="",J559="",K559="",N559=""),"⚠ Champ obligatoire manquant",IF(AND(ISNUMBER(K559),ISNUMBER(J559),N(K559)&gt;N(J559)),"⚠ Prix Autopiec &gt; prix public",IF(COUNTIFS($A$2:$A$1001,A559,$B$2:$B$1001,B559)&gt;1,"⚠ Référence en double","✔ OK"))))</f>
        <v/>
      </c>
    </row>
    <row r="560" customFormat="false" ht="15" hidden="false" customHeight="false" outlineLevel="0" collapsed="false">
      <c r="A560" s="11"/>
      <c r="B560" s="27"/>
      <c r="C560" s="11"/>
      <c r="D560" s="11"/>
      <c r="E560" s="11"/>
      <c r="F560" s="27"/>
      <c r="G560" s="27"/>
      <c r="H560" s="11"/>
      <c r="I560" s="11"/>
      <c r="J560" s="12"/>
      <c r="K560" s="12"/>
      <c r="L560" s="28" t="str">
        <f aca="false">IF(AND(ISNUMBER(J560),ISNUMBER(K560),N(J560)&gt;0),1-K560/J560,"")</f>
        <v/>
      </c>
      <c r="M560" s="29"/>
      <c r="N560" s="30"/>
      <c r="O560" s="30"/>
      <c r="P560" s="11"/>
      <c r="Q560" s="31"/>
      <c r="R560" s="11"/>
      <c r="S560" s="11"/>
      <c r="T560" s="11"/>
      <c r="U560" s="32" t="str">
        <f aca="false">IF((LEN(A560)+LEN(B560)+LEN(C560)+LEN(D560)+LEN(E560)+LEN(F560)+LEN(G560)+LEN(H560)+LEN(I560)+LEN(J560)+LEN(K560)+LEN(M560)+LEN(N560)+LEN(O560)+LEN(P560)+LEN(Q560)+LEN(R560)+LEN(S560)+LEN(T560))=0,"",IF(OR(A560="",B560="",C560="",D560="",E560="",J560="",K560="",N560=""),"⚠ Champ obligatoire manquant",IF(AND(ISNUMBER(K560),ISNUMBER(J560),N(K560)&gt;N(J560)),"⚠ Prix Autopiec &gt; prix public",IF(COUNTIFS($A$2:$A$1001,A560,$B$2:$B$1001,B560)&gt;1,"⚠ Référence en double","✔ OK"))))</f>
        <v/>
      </c>
    </row>
    <row r="561" customFormat="false" ht="15" hidden="false" customHeight="false" outlineLevel="0" collapsed="false">
      <c r="A561" s="11"/>
      <c r="B561" s="27"/>
      <c r="C561" s="11"/>
      <c r="D561" s="11"/>
      <c r="E561" s="11"/>
      <c r="F561" s="27"/>
      <c r="G561" s="27"/>
      <c r="H561" s="11"/>
      <c r="I561" s="11"/>
      <c r="J561" s="12"/>
      <c r="K561" s="12"/>
      <c r="L561" s="28" t="str">
        <f aca="false">IF(AND(ISNUMBER(J561),ISNUMBER(K561),N(J561)&gt;0),1-K561/J561,"")</f>
        <v/>
      </c>
      <c r="M561" s="29"/>
      <c r="N561" s="30"/>
      <c r="O561" s="30"/>
      <c r="P561" s="11"/>
      <c r="Q561" s="31"/>
      <c r="R561" s="11"/>
      <c r="S561" s="11"/>
      <c r="T561" s="11"/>
      <c r="U561" s="32" t="str">
        <f aca="false">IF((LEN(A561)+LEN(B561)+LEN(C561)+LEN(D561)+LEN(E561)+LEN(F561)+LEN(G561)+LEN(H561)+LEN(I561)+LEN(J561)+LEN(K561)+LEN(M561)+LEN(N561)+LEN(O561)+LEN(P561)+LEN(Q561)+LEN(R561)+LEN(S561)+LEN(T561))=0,"",IF(OR(A561="",B561="",C561="",D561="",E561="",J561="",K561="",N561=""),"⚠ Champ obligatoire manquant",IF(AND(ISNUMBER(K561),ISNUMBER(J561),N(K561)&gt;N(J561)),"⚠ Prix Autopiec &gt; prix public",IF(COUNTIFS($A$2:$A$1001,A561,$B$2:$B$1001,B561)&gt;1,"⚠ Référence en double","✔ OK"))))</f>
        <v/>
      </c>
    </row>
    <row r="562" customFormat="false" ht="15" hidden="false" customHeight="false" outlineLevel="0" collapsed="false">
      <c r="A562" s="11"/>
      <c r="B562" s="27"/>
      <c r="C562" s="11"/>
      <c r="D562" s="11"/>
      <c r="E562" s="11"/>
      <c r="F562" s="27"/>
      <c r="G562" s="27"/>
      <c r="H562" s="11"/>
      <c r="I562" s="11"/>
      <c r="J562" s="12"/>
      <c r="K562" s="12"/>
      <c r="L562" s="28" t="str">
        <f aca="false">IF(AND(ISNUMBER(J562),ISNUMBER(K562),N(J562)&gt;0),1-K562/J562,"")</f>
        <v/>
      </c>
      <c r="M562" s="29"/>
      <c r="N562" s="30"/>
      <c r="O562" s="30"/>
      <c r="P562" s="11"/>
      <c r="Q562" s="31"/>
      <c r="R562" s="11"/>
      <c r="S562" s="11"/>
      <c r="T562" s="11"/>
      <c r="U562" s="32" t="str">
        <f aca="false">IF((LEN(A562)+LEN(B562)+LEN(C562)+LEN(D562)+LEN(E562)+LEN(F562)+LEN(G562)+LEN(H562)+LEN(I562)+LEN(J562)+LEN(K562)+LEN(M562)+LEN(N562)+LEN(O562)+LEN(P562)+LEN(Q562)+LEN(R562)+LEN(S562)+LEN(T562))=0,"",IF(OR(A562="",B562="",C562="",D562="",E562="",J562="",K562="",N562=""),"⚠ Champ obligatoire manquant",IF(AND(ISNUMBER(K562),ISNUMBER(J562),N(K562)&gt;N(J562)),"⚠ Prix Autopiec &gt; prix public",IF(COUNTIFS($A$2:$A$1001,A562,$B$2:$B$1001,B562)&gt;1,"⚠ Référence en double","✔ OK"))))</f>
        <v/>
      </c>
    </row>
    <row r="563" customFormat="false" ht="15" hidden="false" customHeight="false" outlineLevel="0" collapsed="false">
      <c r="A563" s="11"/>
      <c r="B563" s="27"/>
      <c r="C563" s="11"/>
      <c r="D563" s="11"/>
      <c r="E563" s="11"/>
      <c r="F563" s="27"/>
      <c r="G563" s="27"/>
      <c r="H563" s="11"/>
      <c r="I563" s="11"/>
      <c r="J563" s="12"/>
      <c r="K563" s="12"/>
      <c r="L563" s="28" t="str">
        <f aca="false">IF(AND(ISNUMBER(J563),ISNUMBER(K563),N(J563)&gt;0),1-K563/J563,"")</f>
        <v/>
      </c>
      <c r="M563" s="29"/>
      <c r="N563" s="30"/>
      <c r="O563" s="30"/>
      <c r="P563" s="11"/>
      <c r="Q563" s="31"/>
      <c r="R563" s="11"/>
      <c r="S563" s="11"/>
      <c r="T563" s="11"/>
      <c r="U563" s="32" t="str">
        <f aca="false">IF((LEN(A563)+LEN(B563)+LEN(C563)+LEN(D563)+LEN(E563)+LEN(F563)+LEN(G563)+LEN(H563)+LEN(I563)+LEN(J563)+LEN(K563)+LEN(M563)+LEN(N563)+LEN(O563)+LEN(P563)+LEN(Q563)+LEN(R563)+LEN(S563)+LEN(T563))=0,"",IF(OR(A563="",B563="",C563="",D563="",E563="",J563="",K563="",N563=""),"⚠ Champ obligatoire manquant",IF(AND(ISNUMBER(K563),ISNUMBER(J563),N(K563)&gt;N(J563)),"⚠ Prix Autopiec &gt; prix public",IF(COUNTIFS($A$2:$A$1001,A563,$B$2:$B$1001,B563)&gt;1,"⚠ Référence en double","✔ OK"))))</f>
        <v/>
      </c>
    </row>
    <row r="564" customFormat="false" ht="15" hidden="false" customHeight="false" outlineLevel="0" collapsed="false">
      <c r="A564" s="11"/>
      <c r="B564" s="27"/>
      <c r="C564" s="11"/>
      <c r="D564" s="11"/>
      <c r="E564" s="11"/>
      <c r="F564" s="27"/>
      <c r="G564" s="27"/>
      <c r="H564" s="11"/>
      <c r="I564" s="11"/>
      <c r="J564" s="12"/>
      <c r="K564" s="12"/>
      <c r="L564" s="28" t="str">
        <f aca="false">IF(AND(ISNUMBER(J564),ISNUMBER(K564),N(J564)&gt;0),1-K564/J564,"")</f>
        <v/>
      </c>
      <c r="M564" s="29"/>
      <c r="N564" s="30"/>
      <c r="O564" s="30"/>
      <c r="P564" s="11"/>
      <c r="Q564" s="31"/>
      <c r="R564" s="11"/>
      <c r="S564" s="11"/>
      <c r="T564" s="11"/>
      <c r="U564" s="32" t="str">
        <f aca="false">IF((LEN(A564)+LEN(B564)+LEN(C564)+LEN(D564)+LEN(E564)+LEN(F564)+LEN(G564)+LEN(H564)+LEN(I564)+LEN(J564)+LEN(K564)+LEN(M564)+LEN(N564)+LEN(O564)+LEN(P564)+LEN(Q564)+LEN(R564)+LEN(S564)+LEN(T564))=0,"",IF(OR(A564="",B564="",C564="",D564="",E564="",J564="",K564="",N564=""),"⚠ Champ obligatoire manquant",IF(AND(ISNUMBER(K564),ISNUMBER(J564),N(K564)&gt;N(J564)),"⚠ Prix Autopiec &gt; prix public",IF(COUNTIFS($A$2:$A$1001,A564,$B$2:$B$1001,B564)&gt;1,"⚠ Référence en double","✔ OK"))))</f>
        <v/>
      </c>
    </row>
    <row r="565" customFormat="false" ht="15" hidden="false" customHeight="false" outlineLevel="0" collapsed="false">
      <c r="A565" s="11"/>
      <c r="B565" s="27"/>
      <c r="C565" s="11"/>
      <c r="D565" s="11"/>
      <c r="E565" s="11"/>
      <c r="F565" s="27"/>
      <c r="G565" s="27"/>
      <c r="H565" s="11"/>
      <c r="I565" s="11"/>
      <c r="J565" s="12"/>
      <c r="K565" s="12"/>
      <c r="L565" s="28" t="str">
        <f aca="false">IF(AND(ISNUMBER(J565),ISNUMBER(K565),N(J565)&gt;0),1-K565/J565,"")</f>
        <v/>
      </c>
      <c r="M565" s="29"/>
      <c r="N565" s="30"/>
      <c r="O565" s="30"/>
      <c r="P565" s="11"/>
      <c r="Q565" s="31"/>
      <c r="R565" s="11"/>
      <c r="S565" s="11"/>
      <c r="T565" s="11"/>
      <c r="U565" s="32" t="str">
        <f aca="false">IF((LEN(A565)+LEN(B565)+LEN(C565)+LEN(D565)+LEN(E565)+LEN(F565)+LEN(G565)+LEN(H565)+LEN(I565)+LEN(J565)+LEN(K565)+LEN(M565)+LEN(N565)+LEN(O565)+LEN(P565)+LEN(Q565)+LEN(R565)+LEN(S565)+LEN(T565))=0,"",IF(OR(A565="",B565="",C565="",D565="",E565="",J565="",K565="",N565=""),"⚠ Champ obligatoire manquant",IF(AND(ISNUMBER(K565),ISNUMBER(J565),N(K565)&gt;N(J565)),"⚠ Prix Autopiec &gt; prix public",IF(COUNTIFS($A$2:$A$1001,A565,$B$2:$B$1001,B565)&gt;1,"⚠ Référence en double","✔ OK"))))</f>
        <v/>
      </c>
    </row>
    <row r="566" customFormat="false" ht="15" hidden="false" customHeight="false" outlineLevel="0" collapsed="false">
      <c r="A566" s="11"/>
      <c r="B566" s="27"/>
      <c r="C566" s="11"/>
      <c r="D566" s="11"/>
      <c r="E566" s="11"/>
      <c r="F566" s="27"/>
      <c r="G566" s="27"/>
      <c r="H566" s="11"/>
      <c r="I566" s="11"/>
      <c r="J566" s="12"/>
      <c r="K566" s="12"/>
      <c r="L566" s="28" t="str">
        <f aca="false">IF(AND(ISNUMBER(J566),ISNUMBER(K566),N(J566)&gt;0),1-K566/J566,"")</f>
        <v/>
      </c>
      <c r="M566" s="29"/>
      <c r="N566" s="30"/>
      <c r="O566" s="30"/>
      <c r="P566" s="11"/>
      <c r="Q566" s="31"/>
      <c r="R566" s="11"/>
      <c r="S566" s="11"/>
      <c r="T566" s="11"/>
      <c r="U566" s="32" t="str">
        <f aca="false">IF((LEN(A566)+LEN(B566)+LEN(C566)+LEN(D566)+LEN(E566)+LEN(F566)+LEN(G566)+LEN(H566)+LEN(I566)+LEN(J566)+LEN(K566)+LEN(M566)+LEN(N566)+LEN(O566)+LEN(P566)+LEN(Q566)+LEN(R566)+LEN(S566)+LEN(T566))=0,"",IF(OR(A566="",B566="",C566="",D566="",E566="",J566="",K566="",N566=""),"⚠ Champ obligatoire manquant",IF(AND(ISNUMBER(K566),ISNUMBER(J566),N(K566)&gt;N(J566)),"⚠ Prix Autopiec &gt; prix public",IF(COUNTIFS($A$2:$A$1001,A566,$B$2:$B$1001,B566)&gt;1,"⚠ Référence en double","✔ OK"))))</f>
        <v/>
      </c>
    </row>
    <row r="567" customFormat="false" ht="15" hidden="false" customHeight="false" outlineLevel="0" collapsed="false">
      <c r="A567" s="11"/>
      <c r="B567" s="27"/>
      <c r="C567" s="11"/>
      <c r="D567" s="11"/>
      <c r="E567" s="11"/>
      <c r="F567" s="27"/>
      <c r="G567" s="27"/>
      <c r="H567" s="11"/>
      <c r="I567" s="11"/>
      <c r="J567" s="12"/>
      <c r="K567" s="12"/>
      <c r="L567" s="28" t="str">
        <f aca="false">IF(AND(ISNUMBER(J567),ISNUMBER(K567),N(J567)&gt;0),1-K567/J567,"")</f>
        <v/>
      </c>
      <c r="M567" s="29"/>
      <c r="N567" s="30"/>
      <c r="O567" s="30"/>
      <c r="P567" s="11"/>
      <c r="Q567" s="31"/>
      <c r="R567" s="11"/>
      <c r="S567" s="11"/>
      <c r="T567" s="11"/>
      <c r="U567" s="32" t="str">
        <f aca="false">IF((LEN(A567)+LEN(B567)+LEN(C567)+LEN(D567)+LEN(E567)+LEN(F567)+LEN(G567)+LEN(H567)+LEN(I567)+LEN(J567)+LEN(K567)+LEN(M567)+LEN(N567)+LEN(O567)+LEN(P567)+LEN(Q567)+LEN(R567)+LEN(S567)+LEN(T567))=0,"",IF(OR(A567="",B567="",C567="",D567="",E567="",J567="",K567="",N567=""),"⚠ Champ obligatoire manquant",IF(AND(ISNUMBER(K567),ISNUMBER(J567),N(K567)&gt;N(J567)),"⚠ Prix Autopiec &gt; prix public",IF(COUNTIFS($A$2:$A$1001,A567,$B$2:$B$1001,B567)&gt;1,"⚠ Référence en double","✔ OK"))))</f>
        <v/>
      </c>
    </row>
    <row r="568" customFormat="false" ht="15" hidden="false" customHeight="false" outlineLevel="0" collapsed="false">
      <c r="A568" s="11"/>
      <c r="B568" s="27"/>
      <c r="C568" s="11"/>
      <c r="D568" s="11"/>
      <c r="E568" s="11"/>
      <c r="F568" s="27"/>
      <c r="G568" s="27"/>
      <c r="H568" s="11"/>
      <c r="I568" s="11"/>
      <c r="J568" s="12"/>
      <c r="K568" s="12"/>
      <c r="L568" s="28" t="str">
        <f aca="false">IF(AND(ISNUMBER(J568),ISNUMBER(K568),N(J568)&gt;0),1-K568/J568,"")</f>
        <v/>
      </c>
      <c r="M568" s="29"/>
      <c r="N568" s="30"/>
      <c r="O568" s="30"/>
      <c r="P568" s="11"/>
      <c r="Q568" s="31"/>
      <c r="R568" s="11"/>
      <c r="S568" s="11"/>
      <c r="T568" s="11"/>
      <c r="U568" s="32" t="str">
        <f aca="false">IF((LEN(A568)+LEN(B568)+LEN(C568)+LEN(D568)+LEN(E568)+LEN(F568)+LEN(G568)+LEN(H568)+LEN(I568)+LEN(J568)+LEN(K568)+LEN(M568)+LEN(N568)+LEN(O568)+LEN(P568)+LEN(Q568)+LEN(R568)+LEN(S568)+LEN(T568))=0,"",IF(OR(A568="",B568="",C568="",D568="",E568="",J568="",K568="",N568=""),"⚠ Champ obligatoire manquant",IF(AND(ISNUMBER(K568),ISNUMBER(J568),N(K568)&gt;N(J568)),"⚠ Prix Autopiec &gt; prix public",IF(COUNTIFS($A$2:$A$1001,A568,$B$2:$B$1001,B568)&gt;1,"⚠ Référence en double","✔ OK"))))</f>
        <v/>
      </c>
    </row>
    <row r="569" customFormat="false" ht="15" hidden="false" customHeight="false" outlineLevel="0" collapsed="false">
      <c r="A569" s="11"/>
      <c r="B569" s="27"/>
      <c r="C569" s="11"/>
      <c r="D569" s="11"/>
      <c r="E569" s="11"/>
      <c r="F569" s="27"/>
      <c r="G569" s="27"/>
      <c r="H569" s="11"/>
      <c r="I569" s="11"/>
      <c r="J569" s="12"/>
      <c r="K569" s="12"/>
      <c r="L569" s="28" t="str">
        <f aca="false">IF(AND(ISNUMBER(J569),ISNUMBER(K569),N(J569)&gt;0),1-K569/J569,"")</f>
        <v/>
      </c>
      <c r="M569" s="29"/>
      <c r="N569" s="30"/>
      <c r="O569" s="30"/>
      <c r="P569" s="11"/>
      <c r="Q569" s="31"/>
      <c r="R569" s="11"/>
      <c r="S569" s="11"/>
      <c r="T569" s="11"/>
      <c r="U569" s="32" t="str">
        <f aca="false">IF((LEN(A569)+LEN(B569)+LEN(C569)+LEN(D569)+LEN(E569)+LEN(F569)+LEN(G569)+LEN(H569)+LEN(I569)+LEN(J569)+LEN(K569)+LEN(M569)+LEN(N569)+LEN(O569)+LEN(P569)+LEN(Q569)+LEN(R569)+LEN(S569)+LEN(T569))=0,"",IF(OR(A569="",B569="",C569="",D569="",E569="",J569="",K569="",N569=""),"⚠ Champ obligatoire manquant",IF(AND(ISNUMBER(K569),ISNUMBER(J569),N(K569)&gt;N(J569)),"⚠ Prix Autopiec &gt; prix public",IF(COUNTIFS($A$2:$A$1001,A569,$B$2:$B$1001,B569)&gt;1,"⚠ Référence en double","✔ OK"))))</f>
        <v/>
      </c>
    </row>
    <row r="570" customFormat="false" ht="15" hidden="false" customHeight="false" outlineLevel="0" collapsed="false">
      <c r="A570" s="11"/>
      <c r="B570" s="27"/>
      <c r="C570" s="11"/>
      <c r="D570" s="11"/>
      <c r="E570" s="11"/>
      <c r="F570" s="27"/>
      <c r="G570" s="27"/>
      <c r="H570" s="11"/>
      <c r="I570" s="11"/>
      <c r="J570" s="12"/>
      <c r="K570" s="12"/>
      <c r="L570" s="28" t="str">
        <f aca="false">IF(AND(ISNUMBER(J570),ISNUMBER(K570),N(J570)&gt;0),1-K570/J570,"")</f>
        <v/>
      </c>
      <c r="M570" s="29"/>
      <c r="N570" s="30"/>
      <c r="O570" s="30"/>
      <c r="P570" s="11"/>
      <c r="Q570" s="31"/>
      <c r="R570" s="11"/>
      <c r="S570" s="11"/>
      <c r="T570" s="11"/>
      <c r="U570" s="32" t="str">
        <f aca="false">IF((LEN(A570)+LEN(B570)+LEN(C570)+LEN(D570)+LEN(E570)+LEN(F570)+LEN(G570)+LEN(H570)+LEN(I570)+LEN(J570)+LEN(K570)+LEN(M570)+LEN(N570)+LEN(O570)+LEN(P570)+LEN(Q570)+LEN(R570)+LEN(S570)+LEN(T570))=0,"",IF(OR(A570="",B570="",C570="",D570="",E570="",J570="",K570="",N570=""),"⚠ Champ obligatoire manquant",IF(AND(ISNUMBER(K570),ISNUMBER(J570),N(K570)&gt;N(J570)),"⚠ Prix Autopiec &gt; prix public",IF(COUNTIFS($A$2:$A$1001,A570,$B$2:$B$1001,B570)&gt;1,"⚠ Référence en double","✔ OK"))))</f>
        <v/>
      </c>
    </row>
    <row r="571" customFormat="false" ht="15" hidden="false" customHeight="false" outlineLevel="0" collapsed="false">
      <c r="A571" s="11"/>
      <c r="B571" s="27"/>
      <c r="C571" s="11"/>
      <c r="D571" s="11"/>
      <c r="E571" s="11"/>
      <c r="F571" s="27"/>
      <c r="G571" s="27"/>
      <c r="H571" s="11"/>
      <c r="I571" s="11"/>
      <c r="J571" s="12"/>
      <c r="K571" s="12"/>
      <c r="L571" s="28" t="str">
        <f aca="false">IF(AND(ISNUMBER(J571),ISNUMBER(K571),N(J571)&gt;0),1-K571/J571,"")</f>
        <v/>
      </c>
      <c r="M571" s="29"/>
      <c r="N571" s="30"/>
      <c r="O571" s="30"/>
      <c r="P571" s="11"/>
      <c r="Q571" s="31"/>
      <c r="R571" s="11"/>
      <c r="S571" s="11"/>
      <c r="T571" s="11"/>
      <c r="U571" s="32" t="str">
        <f aca="false">IF((LEN(A571)+LEN(B571)+LEN(C571)+LEN(D571)+LEN(E571)+LEN(F571)+LEN(G571)+LEN(H571)+LEN(I571)+LEN(J571)+LEN(K571)+LEN(M571)+LEN(N571)+LEN(O571)+LEN(P571)+LEN(Q571)+LEN(R571)+LEN(S571)+LEN(T571))=0,"",IF(OR(A571="",B571="",C571="",D571="",E571="",J571="",K571="",N571=""),"⚠ Champ obligatoire manquant",IF(AND(ISNUMBER(K571),ISNUMBER(J571),N(K571)&gt;N(J571)),"⚠ Prix Autopiec &gt; prix public",IF(COUNTIFS($A$2:$A$1001,A571,$B$2:$B$1001,B571)&gt;1,"⚠ Référence en double","✔ OK"))))</f>
        <v/>
      </c>
    </row>
    <row r="572" customFormat="false" ht="15" hidden="false" customHeight="false" outlineLevel="0" collapsed="false">
      <c r="A572" s="11"/>
      <c r="B572" s="27"/>
      <c r="C572" s="11"/>
      <c r="D572" s="11"/>
      <c r="E572" s="11"/>
      <c r="F572" s="27"/>
      <c r="G572" s="27"/>
      <c r="H572" s="11"/>
      <c r="I572" s="11"/>
      <c r="J572" s="12"/>
      <c r="K572" s="12"/>
      <c r="L572" s="28" t="str">
        <f aca="false">IF(AND(ISNUMBER(J572),ISNUMBER(K572),N(J572)&gt;0),1-K572/J572,"")</f>
        <v/>
      </c>
      <c r="M572" s="29"/>
      <c r="N572" s="30"/>
      <c r="O572" s="30"/>
      <c r="P572" s="11"/>
      <c r="Q572" s="31"/>
      <c r="R572" s="11"/>
      <c r="S572" s="11"/>
      <c r="T572" s="11"/>
      <c r="U572" s="32" t="str">
        <f aca="false">IF((LEN(A572)+LEN(B572)+LEN(C572)+LEN(D572)+LEN(E572)+LEN(F572)+LEN(G572)+LEN(H572)+LEN(I572)+LEN(J572)+LEN(K572)+LEN(M572)+LEN(N572)+LEN(O572)+LEN(P572)+LEN(Q572)+LEN(R572)+LEN(S572)+LEN(T572))=0,"",IF(OR(A572="",B572="",C572="",D572="",E572="",J572="",K572="",N572=""),"⚠ Champ obligatoire manquant",IF(AND(ISNUMBER(K572),ISNUMBER(J572),N(K572)&gt;N(J572)),"⚠ Prix Autopiec &gt; prix public",IF(COUNTIFS($A$2:$A$1001,A572,$B$2:$B$1001,B572)&gt;1,"⚠ Référence en double","✔ OK"))))</f>
        <v/>
      </c>
    </row>
    <row r="573" customFormat="false" ht="15" hidden="false" customHeight="false" outlineLevel="0" collapsed="false">
      <c r="A573" s="11"/>
      <c r="B573" s="27"/>
      <c r="C573" s="11"/>
      <c r="D573" s="11"/>
      <c r="E573" s="11"/>
      <c r="F573" s="27"/>
      <c r="G573" s="27"/>
      <c r="H573" s="11"/>
      <c r="I573" s="11"/>
      <c r="J573" s="12"/>
      <c r="K573" s="12"/>
      <c r="L573" s="28" t="str">
        <f aca="false">IF(AND(ISNUMBER(J573),ISNUMBER(K573),N(J573)&gt;0),1-K573/J573,"")</f>
        <v/>
      </c>
      <c r="M573" s="29"/>
      <c r="N573" s="30"/>
      <c r="O573" s="30"/>
      <c r="P573" s="11"/>
      <c r="Q573" s="31"/>
      <c r="R573" s="11"/>
      <c r="S573" s="11"/>
      <c r="T573" s="11"/>
      <c r="U573" s="32" t="str">
        <f aca="false">IF((LEN(A573)+LEN(B573)+LEN(C573)+LEN(D573)+LEN(E573)+LEN(F573)+LEN(G573)+LEN(H573)+LEN(I573)+LEN(J573)+LEN(K573)+LEN(M573)+LEN(N573)+LEN(O573)+LEN(P573)+LEN(Q573)+LEN(R573)+LEN(S573)+LEN(T573))=0,"",IF(OR(A573="",B573="",C573="",D573="",E573="",J573="",K573="",N573=""),"⚠ Champ obligatoire manquant",IF(AND(ISNUMBER(K573),ISNUMBER(J573),N(K573)&gt;N(J573)),"⚠ Prix Autopiec &gt; prix public",IF(COUNTIFS($A$2:$A$1001,A573,$B$2:$B$1001,B573)&gt;1,"⚠ Référence en double","✔ OK"))))</f>
        <v/>
      </c>
    </row>
    <row r="574" customFormat="false" ht="15" hidden="false" customHeight="false" outlineLevel="0" collapsed="false">
      <c r="A574" s="11"/>
      <c r="B574" s="27"/>
      <c r="C574" s="11"/>
      <c r="D574" s="11"/>
      <c r="E574" s="11"/>
      <c r="F574" s="27"/>
      <c r="G574" s="27"/>
      <c r="H574" s="11"/>
      <c r="I574" s="11"/>
      <c r="J574" s="12"/>
      <c r="K574" s="12"/>
      <c r="L574" s="28" t="str">
        <f aca="false">IF(AND(ISNUMBER(J574),ISNUMBER(K574),N(J574)&gt;0),1-K574/J574,"")</f>
        <v/>
      </c>
      <c r="M574" s="29"/>
      <c r="N574" s="30"/>
      <c r="O574" s="30"/>
      <c r="P574" s="11"/>
      <c r="Q574" s="31"/>
      <c r="R574" s="11"/>
      <c r="S574" s="11"/>
      <c r="T574" s="11"/>
      <c r="U574" s="32" t="str">
        <f aca="false">IF((LEN(A574)+LEN(B574)+LEN(C574)+LEN(D574)+LEN(E574)+LEN(F574)+LEN(G574)+LEN(H574)+LEN(I574)+LEN(J574)+LEN(K574)+LEN(M574)+LEN(N574)+LEN(O574)+LEN(P574)+LEN(Q574)+LEN(R574)+LEN(S574)+LEN(T574))=0,"",IF(OR(A574="",B574="",C574="",D574="",E574="",J574="",K574="",N574=""),"⚠ Champ obligatoire manquant",IF(AND(ISNUMBER(K574),ISNUMBER(J574),N(K574)&gt;N(J574)),"⚠ Prix Autopiec &gt; prix public",IF(COUNTIFS($A$2:$A$1001,A574,$B$2:$B$1001,B574)&gt;1,"⚠ Référence en double","✔ OK"))))</f>
        <v/>
      </c>
    </row>
    <row r="575" customFormat="false" ht="15" hidden="false" customHeight="false" outlineLevel="0" collapsed="false">
      <c r="A575" s="11"/>
      <c r="B575" s="27"/>
      <c r="C575" s="11"/>
      <c r="D575" s="11"/>
      <c r="E575" s="11"/>
      <c r="F575" s="27"/>
      <c r="G575" s="27"/>
      <c r="H575" s="11"/>
      <c r="I575" s="11"/>
      <c r="J575" s="12"/>
      <c r="K575" s="12"/>
      <c r="L575" s="28" t="str">
        <f aca="false">IF(AND(ISNUMBER(J575),ISNUMBER(K575),N(J575)&gt;0),1-K575/J575,"")</f>
        <v/>
      </c>
      <c r="M575" s="29"/>
      <c r="N575" s="30"/>
      <c r="O575" s="30"/>
      <c r="P575" s="11"/>
      <c r="Q575" s="31"/>
      <c r="R575" s="11"/>
      <c r="S575" s="11"/>
      <c r="T575" s="11"/>
      <c r="U575" s="32" t="str">
        <f aca="false">IF((LEN(A575)+LEN(B575)+LEN(C575)+LEN(D575)+LEN(E575)+LEN(F575)+LEN(G575)+LEN(H575)+LEN(I575)+LEN(J575)+LEN(K575)+LEN(M575)+LEN(N575)+LEN(O575)+LEN(P575)+LEN(Q575)+LEN(R575)+LEN(S575)+LEN(T575))=0,"",IF(OR(A575="",B575="",C575="",D575="",E575="",J575="",K575="",N575=""),"⚠ Champ obligatoire manquant",IF(AND(ISNUMBER(K575),ISNUMBER(J575),N(K575)&gt;N(J575)),"⚠ Prix Autopiec &gt; prix public",IF(COUNTIFS($A$2:$A$1001,A575,$B$2:$B$1001,B575)&gt;1,"⚠ Référence en double","✔ OK"))))</f>
        <v/>
      </c>
    </row>
    <row r="576" customFormat="false" ht="15" hidden="false" customHeight="false" outlineLevel="0" collapsed="false">
      <c r="A576" s="11"/>
      <c r="B576" s="27"/>
      <c r="C576" s="11"/>
      <c r="D576" s="11"/>
      <c r="E576" s="11"/>
      <c r="F576" s="27"/>
      <c r="G576" s="27"/>
      <c r="H576" s="11"/>
      <c r="I576" s="11"/>
      <c r="J576" s="12"/>
      <c r="K576" s="12"/>
      <c r="L576" s="28" t="str">
        <f aca="false">IF(AND(ISNUMBER(J576),ISNUMBER(K576),N(J576)&gt;0),1-K576/J576,"")</f>
        <v/>
      </c>
      <c r="M576" s="29"/>
      <c r="N576" s="30"/>
      <c r="O576" s="30"/>
      <c r="P576" s="11"/>
      <c r="Q576" s="31"/>
      <c r="R576" s="11"/>
      <c r="S576" s="11"/>
      <c r="T576" s="11"/>
      <c r="U576" s="32" t="str">
        <f aca="false">IF((LEN(A576)+LEN(B576)+LEN(C576)+LEN(D576)+LEN(E576)+LEN(F576)+LEN(G576)+LEN(H576)+LEN(I576)+LEN(J576)+LEN(K576)+LEN(M576)+LEN(N576)+LEN(O576)+LEN(P576)+LEN(Q576)+LEN(R576)+LEN(S576)+LEN(T576))=0,"",IF(OR(A576="",B576="",C576="",D576="",E576="",J576="",K576="",N576=""),"⚠ Champ obligatoire manquant",IF(AND(ISNUMBER(K576),ISNUMBER(J576),N(K576)&gt;N(J576)),"⚠ Prix Autopiec &gt; prix public",IF(COUNTIFS($A$2:$A$1001,A576,$B$2:$B$1001,B576)&gt;1,"⚠ Référence en double","✔ OK"))))</f>
        <v/>
      </c>
    </row>
    <row r="577" customFormat="false" ht="15" hidden="false" customHeight="false" outlineLevel="0" collapsed="false">
      <c r="A577" s="11"/>
      <c r="B577" s="27"/>
      <c r="C577" s="11"/>
      <c r="D577" s="11"/>
      <c r="E577" s="11"/>
      <c r="F577" s="27"/>
      <c r="G577" s="27"/>
      <c r="H577" s="11"/>
      <c r="I577" s="11"/>
      <c r="J577" s="12"/>
      <c r="K577" s="12"/>
      <c r="L577" s="28" t="str">
        <f aca="false">IF(AND(ISNUMBER(J577),ISNUMBER(K577),N(J577)&gt;0),1-K577/J577,"")</f>
        <v/>
      </c>
      <c r="M577" s="29"/>
      <c r="N577" s="30"/>
      <c r="O577" s="30"/>
      <c r="P577" s="11"/>
      <c r="Q577" s="31"/>
      <c r="R577" s="11"/>
      <c r="S577" s="11"/>
      <c r="T577" s="11"/>
      <c r="U577" s="32" t="str">
        <f aca="false">IF((LEN(A577)+LEN(B577)+LEN(C577)+LEN(D577)+LEN(E577)+LEN(F577)+LEN(G577)+LEN(H577)+LEN(I577)+LEN(J577)+LEN(K577)+LEN(M577)+LEN(N577)+LEN(O577)+LEN(P577)+LEN(Q577)+LEN(R577)+LEN(S577)+LEN(T577))=0,"",IF(OR(A577="",B577="",C577="",D577="",E577="",J577="",K577="",N577=""),"⚠ Champ obligatoire manquant",IF(AND(ISNUMBER(K577),ISNUMBER(J577),N(K577)&gt;N(J577)),"⚠ Prix Autopiec &gt; prix public",IF(COUNTIFS($A$2:$A$1001,A577,$B$2:$B$1001,B577)&gt;1,"⚠ Référence en double","✔ OK"))))</f>
        <v/>
      </c>
    </row>
    <row r="578" customFormat="false" ht="15" hidden="false" customHeight="false" outlineLevel="0" collapsed="false">
      <c r="A578" s="11"/>
      <c r="B578" s="27"/>
      <c r="C578" s="11"/>
      <c r="D578" s="11"/>
      <c r="E578" s="11"/>
      <c r="F578" s="27"/>
      <c r="G578" s="27"/>
      <c r="H578" s="11"/>
      <c r="I578" s="11"/>
      <c r="J578" s="12"/>
      <c r="K578" s="12"/>
      <c r="L578" s="28" t="str">
        <f aca="false">IF(AND(ISNUMBER(J578),ISNUMBER(K578),N(J578)&gt;0),1-K578/J578,"")</f>
        <v/>
      </c>
      <c r="M578" s="29"/>
      <c r="N578" s="30"/>
      <c r="O578" s="30"/>
      <c r="P578" s="11"/>
      <c r="Q578" s="31"/>
      <c r="R578" s="11"/>
      <c r="S578" s="11"/>
      <c r="T578" s="11"/>
      <c r="U578" s="32" t="str">
        <f aca="false">IF((LEN(A578)+LEN(B578)+LEN(C578)+LEN(D578)+LEN(E578)+LEN(F578)+LEN(G578)+LEN(H578)+LEN(I578)+LEN(J578)+LEN(K578)+LEN(M578)+LEN(N578)+LEN(O578)+LEN(P578)+LEN(Q578)+LEN(R578)+LEN(S578)+LEN(T578))=0,"",IF(OR(A578="",B578="",C578="",D578="",E578="",J578="",K578="",N578=""),"⚠ Champ obligatoire manquant",IF(AND(ISNUMBER(K578),ISNUMBER(J578),N(K578)&gt;N(J578)),"⚠ Prix Autopiec &gt; prix public",IF(COUNTIFS($A$2:$A$1001,A578,$B$2:$B$1001,B578)&gt;1,"⚠ Référence en double","✔ OK"))))</f>
        <v/>
      </c>
    </row>
    <row r="579" customFormat="false" ht="15" hidden="false" customHeight="false" outlineLevel="0" collapsed="false">
      <c r="A579" s="11"/>
      <c r="B579" s="27"/>
      <c r="C579" s="11"/>
      <c r="D579" s="11"/>
      <c r="E579" s="11"/>
      <c r="F579" s="27"/>
      <c r="G579" s="27"/>
      <c r="H579" s="11"/>
      <c r="I579" s="11"/>
      <c r="J579" s="12"/>
      <c r="K579" s="12"/>
      <c r="L579" s="28" t="str">
        <f aca="false">IF(AND(ISNUMBER(J579),ISNUMBER(K579),N(J579)&gt;0),1-K579/J579,"")</f>
        <v/>
      </c>
      <c r="M579" s="29"/>
      <c r="N579" s="30"/>
      <c r="O579" s="30"/>
      <c r="P579" s="11"/>
      <c r="Q579" s="31"/>
      <c r="R579" s="11"/>
      <c r="S579" s="11"/>
      <c r="T579" s="11"/>
      <c r="U579" s="32" t="str">
        <f aca="false">IF((LEN(A579)+LEN(B579)+LEN(C579)+LEN(D579)+LEN(E579)+LEN(F579)+LEN(G579)+LEN(H579)+LEN(I579)+LEN(J579)+LEN(K579)+LEN(M579)+LEN(N579)+LEN(O579)+LEN(P579)+LEN(Q579)+LEN(R579)+LEN(S579)+LEN(T579))=0,"",IF(OR(A579="",B579="",C579="",D579="",E579="",J579="",K579="",N579=""),"⚠ Champ obligatoire manquant",IF(AND(ISNUMBER(K579),ISNUMBER(J579),N(K579)&gt;N(J579)),"⚠ Prix Autopiec &gt; prix public",IF(COUNTIFS($A$2:$A$1001,A579,$B$2:$B$1001,B579)&gt;1,"⚠ Référence en double","✔ OK"))))</f>
        <v/>
      </c>
    </row>
    <row r="580" customFormat="false" ht="15" hidden="false" customHeight="false" outlineLevel="0" collapsed="false">
      <c r="A580" s="11"/>
      <c r="B580" s="27"/>
      <c r="C580" s="11"/>
      <c r="D580" s="11"/>
      <c r="E580" s="11"/>
      <c r="F580" s="27"/>
      <c r="G580" s="27"/>
      <c r="H580" s="11"/>
      <c r="I580" s="11"/>
      <c r="J580" s="12"/>
      <c r="K580" s="12"/>
      <c r="L580" s="28" t="str">
        <f aca="false">IF(AND(ISNUMBER(J580),ISNUMBER(K580),N(J580)&gt;0),1-K580/J580,"")</f>
        <v/>
      </c>
      <c r="M580" s="29"/>
      <c r="N580" s="30"/>
      <c r="O580" s="30"/>
      <c r="P580" s="11"/>
      <c r="Q580" s="31"/>
      <c r="R580" s="11"/>
      <c r="S580" s="11"/>
      <c r="T580" s="11"/>
      <c r="U580" s="32" t="str">
        <f aca="false">IF((LEN(A580)+LEN(B580)+LEN(C580)+LEN(D580)+LEN(E580)+LEN(F580)+LEN(G580)+LEN(H580)+LEN(I580)+LEN(J580)+LEN(K580)+LEN(M580)+LEN(N580)+LEN(O580)+LEN(P580)+LEN(Q580)+LEN(R580)+LEN(S580)+LEN(T580))=0,"",IF(OR(A580="",B580="",C580="",D580="",E580="",J580="",K580="",N580=""),"⚠ Champ obligatoire manquant",IF(AND(ISNUMBER(K580),ISNUMBER(J580),N(K580)&gt;N(J580)),"⚠ Prix Autopiec &gt; prix public",IF(COUNTIFS($A$2:$A$1001,A580,$B$2:$B$1001,B580)&gt;1,"⚠ Référence en double","✔ OK"))))</f>
        <v/>
      </c>
    </row>
    <row r="581" customFormat="false" ht="15" hidden="false" customHeight="false" outlineLevel="0" collapsed="false">
      <c r="A581" s="11"/>
      <c r="B581" s="27"/>
      <c r="C581" s="11"/>
      <c r="D581" s="11"/>
      <c r="E581" s="11"/>
      <c r="F581" s="27"/>
      <c r="G581" s="27"/>
      <c r="H581" s="11"/>
      <c r="I581" s="11"/>
      <c r="J581" s="12"/>
      <c r="K581" s="12"/>
      <c r="L581" s="28" t="str">
        <f aca="false">IF(AND(ISNUMBER(J581),ISNUMBER(K581),N(J581)&gt;0),1-K581/J581,"")</f>
        <v/>
      </c>
      <c r="M581" s="29"/>
      <c r="N581" s="30"/>
      <c r="O581" s="30"/>
      <c r="P581" s="11"/>
      <c r="Q581" s="31"/>
      <c r="R581" s="11"/>
      <c r="S581" s="11"/>
      <c r="T581" s="11"/>
      <c r="U581" s="32" t="str">
        <f aca="false">IF((LEN(A581)+LEN(B581)+LEN(C581)+LEN(D581)+LEN(E581)+LEN(F581)+LEN(G581)+LEN(H581)+LEN(I581)+LEN(J581)+LEN(K581)+LEN(M581)+LEN(N581)+LEN(O581)+LEN(P581)+LEN(Q581)+LEN(R581)+LEN(S581)+LEN(T581))=0,"",IF(OR(A581="",B581="",C581="",D581="",E581="",J581="",K581="",N581=""),"⚠ Champ obligatoire manquant",IF(AND(ISNUMBER(K581),ISNUMBER(J581),N(K581)&gt;N(J581)),"⚠ Prix Autopiec &gt; prix public",IF(COUNTIFS($A$2:$A$1001,A581,$B$2:$B$1001,B581)&gt;1,"⚠ Référence en double","✔ OK"))))</f>
        <v/>
      </c>
    </row>
    <row r="582" customFormat="false" ht="15" hidden="false" customHeight="false" outlineLevel="0" collapsed="false">
      <c r="A582" s="11"/>
      <c r="B582" s="27"/>
      <c r="C582" s="11"/>
      <c r="D582" s="11"/>
      <c r="E582" s="11"/>
      <c r="F582" s="27"/>
      <c r="G582" s="27"/>
      <c r="H582" s="11"/>
      <c r="I582" s="11"/>
      <c r="J582" s="12"/>
      <c r="K582" s="12"/>
      <c r="L582" s="28" t="str">
        <f aca="false">IF(AND(ISNUMBER(J582),ISNUMBER(K582),N(J582)&gt;0),1-K582/J582,"")</f>
        <v/>
      </c>
      <c r="M582" s="29"/>
      <c r="N582" s="30"/>
      <c r="O582" s="30"/>
      <c r="P582" s="11"/>
      <c r="Q582" s="31"/>
      <c r="R582" s="11"/>
      <c r="S582" s="11"/>
      <c r="T582" s="11"/>
      <c r="U582" s="32" t="str">
        <f aca="false">IF((LEN(A582)+LEN(B582)+LEN(C582)+LEN(D582)+LEN(E582)+LEN(F582)+LEN(G582)+LEN(H582)+LEN(I582)+LEN(J582)+LEN(K582)+LEN(M582)+LEN(N582)+LEN(O582)+LEN(P582)+LEN(Q582)+LEN(R582)+LEN(S582)+LEN(T582))=0,"",IF(OR(A582="",B582="",C582="",D582="",E582="",J582="",K582="",N582=""),"⚠ Champ obligatoire manquant",IF(AND(ISNUMBER(K582),ISNUMBER(J582),N(K582)&gt;N(J582)),"⚠ Prix Autopiec &gt; prix public",IF(COUNTIFS($A$2:$A$1001,A582,$B$2:$B$1001,B582)&gt;1,"⚠ Référence en double","✔ OK"))))</f>
        <v/>
      </c>
    </row>
    <row r="583" customFormat="false" ht="15" hidden="false" customHeight="false" outlineLevel="0" collapsed="false">
      <c r="A583" s="11"/>
      <c r="B583" s="27"/>
      <c r="C583" s="11"/>
      <c r="D583" s="11"/>
      <c r="E583" s="11"/>
      <c r="F583" s="27"/>
      <c r="G583" s="27"/>
      <c r="H583" s="11"/>
      <c r="I583" s="11"/>
      <c r="J583" s="12"/>
      <c r="K583" s="12"/>
      <c r="L583" s="28" t="str">
        <f aca="false">IF(AND(ISNUMBER(J583),ISNUMBER(K583),N(J583)&gt;0),1-K583/J583,"")</f>
        <v/>
      </c>
      <c r="M583" s="29"/>
      <c r="N583" s="30"/>
      <c r="O583" s="30"/>
      <c r="P583" s="11"/>
      <c r="Q583" s="31"/>
      <c r="R583" s="11"/>
      <c r="S583" s="11"/>
      <c r="T583" s="11"/>
      <c r="U583" s="32" t="str">
        <f aca="false">IF((LEN(A583)+LEN(B583)+LEN(C583)+LEN(D583)+LEN(E583)+LEN(F583)+LEN(G583)+LEN(H583)+LEN(I583)+LEN(J583)+LEN(K583)+LEN(M583)+LEN(N583)+LEN(O583)+LEN(P583)+LEN(Q583)+LEN(R583)+LEN(S583)+LEN(T583))=0,"",IF(OR(A583="",B583="",C583="",D583="",E583="",J583="",K583="",N583=""),"⚠ Champ obligatoire manquant",IF(AND(ISNUMBER(K583),ISNUMBER(J583),N(K583)&gt;N(J583)),"⚠ Prix Autopiec &gt; prix public",IF(COUNTIFS($A$2:$A$1001,A583,$B$2:$B$1001,B583)&gt;1,"⚠ Référence en double","✔ OK"))))</f>
        <v/>
      </c>
    </row>
    <row r="584" customFormat="false" ht="15" hidden="false" customHeight="false" outlineLevel="0" collapsed="false">
      <c r="A584" s="11"/>
      <c r="B584" s="27"/>
      <c r="C584" s="11"/>
      <c r="D584" s="11"/>
      <c r="E584" s="11"/>
      <c r="F584" s="27"/>
      <c r="G584" s="27"/>
      <c r="H584" s="11"/>
      <c r="I584" s="11"/>
      <c r="J584" s="12"/>
      <c r="K584" s="12"/>
      <c r="L584" s="28" t="str">
        <f aca="false">IF(AND(ISNUMBER(J584),ISNUMBER(K584),N(J584)&gt;0),1-K584/J584,"")</f>
        <v/>
      </c>
      <c r="M584" s="29"/>
      <c r="N584" s="30"/>
      <c r="O584" s="30"/>
      <c r="P584" s="11"/>
      <c r="Q584" s="31"/>
      <c r="R584" s="11"/>
      <c r="S584" s="11"/>
      <c r="T584" s="11"/>
      <c r="U584" s="32" t="str">
        <f aca="false">IF((LEN(A584)+LEN(B584)+LEN(C584)+LEN(D584)+LEN(E584)+LEN(F584)+LEN(G584)+LEN(H584)+LEN(I584)+LEN(J584)+LEN(K584)+LEN(M584)+LEN(N584)+LEN(O584)+LEN(P584)+LEN(Q584)+LEN(R584)+LEN(S584)+LEN(T584))=0,"",IF(OR(A584="",B584="",C584="",D584="",E584="",J584="",K584="",N584=""),"⚠ Champ obligatoire manquant",IF(AND(ISNUMBER(K584),ISNUMBER(J584),N(K584)&gt;N(J584)),"⚠ Prix Autopiec &gt; prix public",IF(COUNTIFS($A$2:$A$1001,A584,$B$2:$B$1001,B584)&gt;1,"⚠ Référence en double","✔ OK"))))</f>
        <v/>
      </c>
    </row>
    <row r="585" customFormat="false" ht="15" hidden="false" customHeight="false" outlineLevel="0" collapsed="false">
      <c r="A585" s="11"/>
      <c r="B585" s="27"/>
      <c r="C585" s="11"/>
      <c r="D585" s="11"/>
      <c r="E585" s="11"/>
      <c r="F585" s="27"/>
      <c r="G585" s="27"/>
      <c r="H585" s="11"/>
      <c r="I585" s="11"/>
      <c r="J585" s="12"/>
      <c r="K585" s="12"/>
      <c r="L585" s="28" t="str">
        <f aca="false">IF(AND(ISNUMBER(J585),ISNUMBER(K585),N(J585)&gt;0),1-K585/J585,"")</f>
        <v/>
      </c>
      <c r="M585" s="29"/>
      <c r="N585" s="30"/>
      <c r="O585" s="30"/>
      <c r="P585" s="11"/>
      <c r="Q585" s="31"/>
      <c r="R585" s="11"/>
      <c r="S585" s="11"/>
      <c r="T585" s="11"/>
      <c r="U585" s="32" t="str">
        <f aca="false">IF((LEN(A585)+LEN(B585)+LEN(C585)+LEN(D585)+LEN(E585)+LEN(F585)+LEN(G585)+LEN(H585)+LEN(I585)+LEN(J585)+LEN(K585)+LEN(M585)+LEN(N585)+LEN(O585)+LEN(P585)+LEN(Q585)+LEN(R585)+LEN(S585)+LEN(T585))=0,"",IF(OR(A585="",B585="",C585="",D585="",E585="",J585="",K585="",N585=""),"⚠ Champ obligatoire manquant",IF(AND(ISNUMBER(K585),ISNUMBER(J585),N(K585)&gt;N(J585)),"⚠ Prix Autopiec &gt; prix public",IF(COUNTIFS($A$2:$A$1001,A585,$B$2:$B$1001,B585)&gt;1,"⚠ Référence en double","✔ OK"))))</f>
        <v/>
      </c>
    </row>
    <row r="586" customFormat="false" ht="15" hidden="false" customHeight="false" outlineLevel="0" collapsed="false">
      <c r="A586" s="11"/>
      <c r="B586" s="27"/>
      <c r="C586" s="11"/>
      <c r="D586" s="11"/>
      <c r="E586" s="11"/>
      <c r="F586" s="27"/>
      <c r="G586" s="27"/>
      <c r="H586" s="11"/>
      <c r="I586" s="11"/>
      <c r="J586" s="12"/>
      <c r="K586" s="12"/>
      <c r="L586" s="28" t="str">
        <f aca="false">IF(AND(ISNUMBER(J586),ISNUMBER(K586),N(J586)&gt;0),1-K586/J586,"")</f>
        <v/>
      </c>
      <c r="M586" s="29"/>
      <c r="N586" s="30"/>
      <c r="O586" s="30"/>
      <c r="P586" s="11"/>
      <c r="Q586" s="31"/>
      <c r="R586" s="11"/>
      <c r="S586" s="11"/>
      <c r="T586" s="11"/>
      <c r="U586" s="32" t="str">
        <f aca="false">IF((LEN(A586)+LEN(B586)+LEN(C586)+LEN(D586)+LEN(E586)+LEN(F586)+LEN(G586)+LEN(H586)+LEN(I586)+LEN(J586)+LEN(K586)+LEN(M586)+LEN(N586)+LEN(O586)+LEN(P586)+LEN(Q586)+LEN(R586)+LEN(S586)+LEN(T586))=0,"",IF(OR(A586="",B586="",C586="",D586="",E586="",J586="",K586="",N586=""),"⚠ Champ obligatoire manquant",IF(AND(ISNUMBER(K586),ISNUMBER(J586),N(K586)&gt;N(J586)),"⚠ Prix Autopiec &gt; prix public",IF(COUNTIFS($A$2:$A$1001,A586,$B$2:$B$1001,B586)&gt;1,"⚠ Référence en double","✔ OK"))))</f>
        <v/>
      </c>
    </row>
    <row r="587" customFormat="false" ht="15" hidden="false" customHeight="false" outlineLevel="0" collapsed="false">
      <c r="A587" s="11"/>
      <c r="B587" s="27"/>
      <c r="C587" s="11"/>
      <c r="D587" s="11"/>
      <c r="E587" s="11"/>
      <c r="F587" s="27"/>
      <c r="G587" s="27"/>
      <c r="H587" s="11"/>
      <c r="I587" s="11"/>
      <c r="J587" s="12"/>
      <c r="K587" s="12"/>
      <c r="L587" s="28" t="str">
        <f aca="false">IF(AND(ISNUMBER(J587),ISNUMBER(K587),N(J587)&gt;0),1-K587/J587,"")</f>
        <v/>
      </c>
      <c r="M587" s="29"/>
      <c r="N587" s="30"/>
      <c r="O587" s="30"/>
      <c r="P587" s="11"/>
      <c r="Q587" s="31"/>
      <c r="R587" s="11"/>
      <c r="S587" s="11"/>
      <c r="T587" s="11"/>
      <c r="U587" s="32" t="str">
        <f aca="false">IF((LEN(A587)+LEN(B587)+LEN(C587)+LEN(D587)+LEN(E587)+LEN(F587)+LEN(G587)+LEN(H587)+LEN(I587)+LEN(J587)+LEN(K587)+LEN(M587)+LEN(N587)+LEN(O587)+LEN(P587)+LEN(Q587)+LEN(R587)+LEN(S587)+LEN(T587))=0,"",IF(OR(A587="",B587="",C587="",D587="",E587="",J587="",K587="",N587=""),"⚠ Champ obligatoire manquant",IF(AND(ISNUMBER(K587),ISNUMBER(J587),N(K587)&gt;N(J587)),"⚠ Prix Autopiec &gt; prix public",IF(COUNTIFS($A$2:$A$1001,A587,$B$2:$B$1001,B587)&gt;1,"⚠ Référence en double","✔ OK"))))</f>
        <v/>
      </c>
    </row>
    <row r="588" customFormat="false" ht="15" hidden="false" customHeight="false" outlineLevel="0" collapsed="false">
      <c r="A588" s="11"/>
      <c r="B588" s="27"/>
      <c r="C588" s="11"/>
      <c r="D588" s="11"/>
      <c r="E588" s="11"/>
      <c r="F588" s="27"/>
      <c r="G588" s="27"/>
      <c r="H588" s="11"/>
      <c r="I588" s="11"/>
      <c r="J588" s="12"/>
      <c r="K588" s="12"/>
      <c r="L588" s="28" t="str">
        <f aca="false">IF(AND(ISNUMBER(J588),ISNUMBER(K588),N(J588)&gt;0),1-K588/J588,"")</f>
        <v/>
      </c>
      <c r="M588" s="29"/>
      <c r="N588" s="30"/>
      <c r="O588" s="30"/>
      <c r="P588" s="11"/>
      <c r="Q588" s="31"/>
      <c r="R588" s="11"/>
      <c r="S588" s="11"/>
      <c r="T588" s="11"/>
      <c r="U588" s="32" t="str">
        <f aca="false">IF((LEN(A588)+LEN(B588)+LEN(C588)+LEN(D588)+LEN(E588)+LEN(F588)+LEN(G588)+LEN(H588)+LEN(I588)+LEN(J588)+LEN(K588)+LEN(M588)+LEN(N588)+LEN(O588)+LEN(P588)+LEN(Q588)+LEN(R588)+LEN(S588)+LEN(T588))=0,"",IF(OR(A588="",B588="",C588="",D588="",E588="",J588="",K588="",N588=""),"⚠ Champ obligatoire manquant",IF(AND(ISNUMBER(K588),ISNUMBER(J588),N(K588)&gt;N(J588)),"⚠ Prix Autopiec &gt; prix public",IF(COUNTIFS($A$2:$A$1001,A588,$B$2:$B$1001,B588)&gt;1,"⚠ Référence en double","✔ OK"))))</f>
        <v/>
      </c>
    </row>
    <row r="589" customFormat="false" ht="15" hidden="false" customHeight="false" outlineLevel="0" collapsed="false">
      <c r="A589" s="11"/>
      <c r="B589" s="27"/>
      <c r="C589" s="11"/>
      <c r="D589" s="11"/>
      <c r="E589" s="11"/>
      <c r="F589" s="27"/>
      <c r="G589" s="27"/>
      <c r="H589" s="11"/>
      <c r="I589" s="11"/>
      <c r="J589" s="12"/>
      <c r="K589" s="12"/>
      <c r="L589" s="28" t="str">
        <f aca="false">IF(AND(ISNUMBER(J589),ISNUMBER(K589),N(J589)&gt;0),1-K589/J589,"")</f>
        <v/>
      </c>
      <c r="M589" s="29"/>
      <c r="N589" s="30"/>
      <c r="O589" s="30"/>
      <c r="P589" s="11"/>
      <c r="Q589" s="31"/>
      <c r="R589" s="11"/>
      <c r="S589" s="11"/>
      <c r="T589" s="11"/>
      <c r="U589" s="32" t="str">
        <f aca="false">IF((LEN(A589)+LEN(B589)+LEN(C589)+LEN(D589)+LEN(E589)+LEN(F589)+LEN(G589)+LEN(H589)+LEN(I589)+LEN(J589)+LEN(K589)+LEN(M589)+LEN(N589)+LEN(O589)+LEN(P589)+LEN(Q589)+LEN(R589)+LEN(S589)+LEN(T589))=0,"",IF(OR(A589="",B589="",C589="",D589="",E589="",J589="",K589="",N589=""),"⚠ Champ obligatoire manquant",IF(AND(ISNUMBER(K589),ISNUMBER(J589),N(K589)&gt;N(J589)),"⚠ Prix Autopiec &gt; prix public",IF(COUNTIFS($A$2:$A$1001,A589,$B$2:$B$1001,B589)&gt;1,"⚠ Référence en double","✔ OK"))))</f>
        <v/>
      </c>
    </row>
    <row r="590" customFormat="false" ht="15" hidden="false" customHeight="false" outlineLevel="0" collapsed="false">
      <c r="A590" s="11"/>
      <c r="B590" s="27"/>
      <c r="C590" s="11"/>
      <c r="D590" s="11"/>
      <c r="E590" s="11"/>
      <c r="F590" s="27"/>
      <c r="G590" s="27"/>
      <c r="H590" s="11"/>
      <c r="I590" s="11"/>
      <c r="J590" s="12"/>
      <c r="K590" s="12"/>
      <c r="L590" s="28" t="str">
        <f aca="false">IF(AND(ISNUMBER(J590),ISNUMBER(K590),N(J590)&gt;0),1-K590/J590,"")</f>
        <v/>
      </c>
      <c r="M590" s="29"/>
      <c r="N590" s="30"/>
      <c r="O590" s="30"/>
      <c r="P590" s="11"/>
      <c r="Q590" s="31"/>
      <c r="R590" s="11"/>
      <c r="S590" s="11"/>
      <c r="T590" s="11"/>
      <c r="U590" s="32" t="str">
        <f aca="false">IF((LEN(A590)+LEN(B590)+LEN(C590)+LEN(D590)+LEN(E590)+LEN(F590)+LEN(G590)+LEN(H590)+LEN(I590)+LEN(J590)+LEN(K590)+LEN(M590)+LEN(N590)+LEN(O590)+LEN(P590)+LEN(Q590)+LEN(R590)+LEN(S590)+LEN(T590))=0,"",IF(OR(A590="",B590="",C590="",D590="",E590="",J590="",K590="",N590=""),"⚠ Champ obligatoire manquant",IF(AND(ISNUMBER(K590),ISNUMBER(J590),N(K590)&gt;N(J590)),"⚠ Prix Autopiec &gt; prix public",IF(COUNTIFS($A$2:$A$1001,A590,$B$2:$B$1001,B590)&gt;1,"⚠ Référence en double","✔ OK"))))</f>
        <v/>
      </c>
    </row>
    <row r="591" customFormat="false" ht="15" hidden="false" customHeight="false" outlineLevel="0" collapsed="false">
      <c r="A591" s="11"/>
      <c r="B591" s="27"/>
      <c r="C591" s="11"/>
      <c r="D591" s="11"/>
      <c r="E591" s="11"/>
      <c r="F591" s="27"/>
      <c r="G591" s="27"/>
      <c r="H591" s="11"/>
      <c r="I591" s="11"/>
      <c r="J591" s="12"/>
      <c r="K591" s="12"/>
      <c r="L591" s="28" t="str">
        <f aca="false">IF(AND(ISNUMBER(J591),ISNUMBER(K591),N(J591)&gt;0),1-K591/J591,"")</f>
        <v/>
      </c>
      <c r="M591" s="29"/>
      <c r="N591" s="30"/>
      <c r="O591" s="30"/>
      <c r="P591" s="11"/>
      <c r="Q591" s="31"/>
      <c r="R591" s="11"/>
      <c r="S591" s="11"/>
      <c r="T591" s="11"/>
      <c r="U591" s="32" t="str">
        <f aca="false">IF((LEN(A591)+LEN(B591)+LEN(C591)+LEN(D591)+LEN(E591)+LEN(F591)+LEN(G591)+LEN(H591)+LEN(I591)+LEN(J591)+LEN(K591)+LEN(M591)+LEN(N591)+LEN(O591)+LEN(P591)+LEN(Q591)+LEN(R591)+LEN(S591)+LEN(T591))=0,"",IF(OR(A591="",B591="",C591="",D591="",E591="",J591="",K591="",N591=""),"⚠ Champ obligatoire manquant",IF(AND(ISNUMBER(K591),ISNUMBER(J591),N(K591)&gt;N(J591)),"⚠ Prix Autopiec &gt; prix public",IF(COUNTIFS($A$2:$A$1001,A591,$B$2:$B$1001,B591)&gt;1,"⚠ Référence en double","✔ OK"))))</f>
        <v/>
      </c>
    </row>
    <row r="592" customFormat="false" ht="15" hidden="false" customHeight="false" outlineLevel="0" collapsed="false">
      <c r="A592" s="11"/>
      <c r="B592" s="27"/>
      <c r="C592" s="11"/>
      <c r="D592" s="11"/>
      <c r="E592" s="11"/>
      <c r="F592" s="27"/>
      <c r="G592" s="27"/>
      <c r="H592" s="11"/>
      <c r="I592" s="11"/>
      <c r="J592" s="12"/>
      <c r="K592" s="12"/>
      <c r="L592" s="28" t="str">
        <f aca="false">IF(AND(ISNUMBER(J592),ISNUMBER(K592),N(J592)&gt;0),1-K592/J592,"")</f>
        <v/>
      </c>
      <c r="M592" s="29"/>
      <c r="N592" s="30"/>
      <c r="O592" s="30"/>
      <c r="P592" s="11"/>
      <c r="Q592" s="31"/>
      <c r="R592" s="11"/>
      <c r="S592" s="11"/>
      <c r="T592" s="11"/>
      <c r="U592" s="32" t="str">
        <f aca="false">IF((LEN(A592)+LEN(B592)+LEN(C592)+LEN(D592)+LEN(E592)+LEN(F592)+LEN(G592)+LEN(H592)+LEN(I592)+LEN(J592)+LEN(K592)+LEN(M592)+LEN(N592)+LEN(O592)+LEN(P592)+LEN(Q592)+LEN(R592)+LEN(S592)+LEN(T592))=0,"",IF(OR(A592="",B592="",C592="",D592="",E592="",J592="",K592="",N592=""),"⚠ Champ obligatoire manquant",IF(AND(ISNUMBER(K592),ISNUMBER(J592),N(K592)&gt;N(J592)),"⚠ Prix Autopiec &gt; prix public",IF(COUNTIFS($A$2:$A$1001,A592,$B$2:$B$1001,B592)&gt;1,"⚠ Référence en double","✔ OK"))))</f>
        <v/>
      </c>
    </row>
    <row r="593" customFormat="false" ht="15" hidden="false" customHeight="false" outlineLevel="0" collapsed="false">
      <c r="A593" s="11"/>
      <c r="B593" s="27"/>
      <c r="C593" s="11"/>
      <c r="D593" s="11"/>
      <c r="E593" s="11"/>
      <c r="F593" s="27"/>
      <c r="G593" s="27"/>
      <c r="H593" s="11"/>
      <c r="I593" s="11"/>
      <c r="J593" s="12"/>
      <c r="K593" s="12"/>
      <c r="L593" s="28" t="str">
        <f aca="false">IF(AND(ISNUMBER(J593),ISNUMBER(K593),N(J593)&gt;0),1-K593/J593,"")</f>
        <v/>
      </c>
      <c r="M593" s="29"/>
      <c r="N593" s="30"/>
      <c r="O593" s="30"/>
      <c r="P593" s="11"/>
      <c r="Q593" s="31"/>
      <c r="R593" s="11"/>
      <c r="S593" s="11"/>
      <c r="T593" s="11"/>
      <c r="U593" s="32" t="str">
        <f aca="false">IF((LEN(A593)+LEN(B593)+LEN(C593)+LEN(D593)+LEN(E593)+LEN(F593)+LEN(G593)+LEN(H593)+LEN(I593)+LEN(J593)+LEN(K593)+LEN(M593)+LEN(N593)+LEN(O593)+LEN(P593)+LEN(Q593)+LEN(R593)+LEN(S593)+LEN(T593))=0,"",IF(OR(A593="",B593="",C593="",D593="",E593="",J593="",K593="",N593=""),"⚠ Champ obligatoire manquant",IF(AND(ISNUMBER(K593),ISNUMBER(J593),N(K593)&gt;N(J593)),"⚠ Prix Autopiec &gt; prix public",IF(COUNTIFS($A$2:$A$1001,A593,$B$2:$B$1001,B593)&gt;1,"⚠ Référence en double","✔ OK"))))</f>
        <v/>
      </c>
    </row>
    <row r="594" customFormat="false" ht="15" hidden="false" customHeight="false" outlineLevel="0" collapsed="false">
      <c r="A594" s="11"/>
      <c r="B594" s="27"/>
      <c r="C594" s="11"/>
      <c r="D594" s="11"/>
      <c r="E594" s="11"/>
      <c r="F594" s="27"/>
      <c r="G594" s="27"/>
      <c r="H594" s="11"/>
      <c r="I594" s="11"/>
      <c r="J594" s="12"/>
      <c r="K594" s="12"/>
      <c r="L594" s="28" t="str">
        <f aca="false">IF(AND(ISNUMBER(J594),ISNUMBER(K594),N(J594)&gt;0),1-K594/J594,"")</f>
        <v/>
      </c>
      <c r="M594" s="29"/>
      <c r="N594" s="30"/>
      <c r="O594" s="30"/>
      <c r="P594" s="11"/>
      <c r="Q594" s="31"/>
      <c r="R594" s="11"/>
      <c r="S594" s="11"/>
      <c r="T594" s="11"/>
      <c r="U594" s="32" t="str">
        <f aca="false">IF((LEN(A594)+LEN(B594)+LEN(C594)+LEN(D594)+LEN(E594)+LEN(F594)+LEN(G594)+LEN(H594)+LEN(I594)+LEN(J594)+LEN(K594)+LEN(M594)+LEN(N594)+LEN(O594)+LEN(P594)+LEN(Q594)+LEN(R594)+LEN(S594)+LEN(T594))=0,"",IF(OR(A594="",B594="",C594="",D594="",E594="",J594="",K594="",N594=""),"⚠ Champ obligatoire manquant",IF(AND(ISNUMBER(K594),ISNUMBER(J594),N(K594)&gt;N(J594)),"⚠ Prix Autopiec &gt; prix public",IF(COUNTIFS($A$2:$A$1001,A594,$B$2:$B$1001,B594)&gt;1,"⚠ Référence en double","✔ OK"))))</f>
        <v/>
      </c>
    </row>
    <row r="595" customFormat="false" ht="15" hidden="false" customHeight="false" outlineLevel="0" collapsed="false">
      <c r="A595" s="11"/>
      <c r="B595" s="27"/>
      <c r="C595" s="11"/>
      <c r="D595" s="11"/>
      <c r="E595" s="11"/>
      <c r="F595" s="27"/>
      <c r="G595" s="27"/>
      <c r="H595" s="11"/>
      <c r="I595" s="11"/>
      <c r="J595" s="12"/>
      <c r="K595" s="12"/>
      <c r="L595" s="28" t="str">
        <f aca="false">IF(AND(ISNUMBER(J595),ISNUMBER(K595),N(J595)&gt;0),1-K595/J595,"")</f>
        <v/>
      </c>
      <c r="M595" s="29"/>
      <c r="N595" s="30"/>
      <c r="O595" s="30"/>
      <c r="P595" s="11"/>
      <c r="Q595" s="31"/>
      <c r="R595" s="11"/>
      <c r="S595" s="11"/>
      <c r="T595" s="11"/>
      <c r="U595" s="32" t="str">
        <f aca="false">IF((LEN(A595)+LEN(B595)+LEN(C595)+LEN(D595)+LEN(E595)+LEN(F595)+LEN(G595)+LEN(H595)+LEN(I595)+LEN(J595)+LEN(K595)+LEN(M595)+LEN(N595)+LEN(O595)+LEN(P595)+LEN(Q595)+LEN(R595)+LEN(S595)+LEN(T595))=0,"",IF(OR(A595="",B595="",C595="",D595="",E595="",J595="",K595="",N595=""),"⚠ Champ obligatoire manquant",IF(AND(ISNUMBER(K595),ISNUMBER(J595),N(K595)&gt;N(J595)),"⚠ Prix Autopiec &gt; prix public",IF(COUNTIFS($A$2:$A$1001,A595,$B$2:$B$1001,B595)&gt;1,"⚠ Référence en double","✔ OK"))))</f>
        <v/>
      </c>
    </row>
    <row r="596" customFormat="false" ht="15" hidden="false" customHeight="false" outlineLevel="0" collapsed="false">
      <c r="A596" s="11"/>
      <c r="B596" s="27"/>
      <c r="C596" s="11"/>
      <c r="D596" s="11"/>
      <c r="E596" s="11"/>
      <c r="F596" s="27"/>
      <c r="G596" s="27"/>
      <c r="H596" s="11"/>
      <c r="I596" s="11"/>
      <c r="J596" s="12"/>
      <c r="K596" s="12"/>
      <c r="L596" s="28" t="str">
        <f aca="false">IF(AND(ISNUMBER(J596),ISNUMBER(K596),N(J596)&gt;0),1-K596/J596,"")</f>
        <v/>
      </c>
      <c r="M596" s="29"/>
      <c r="N596" s="30"/>
      <c r="O596" s="30"/>
      <c r="P596" s="11"/>
      <c r="Q596" s="31"/>
      <c r="R596" s="11"/>
      <c r="S596" s="11"/>
      <c r="T596" s="11"/>
      <c r="U596" s="32" t="str">
        <f aca="false">IF((LEN(A596)+LEN(B596)+LEN(C596)+LEN(D596)+LEN(E596)+LEN(F596)+LEN(G596)+LEN(H596)+LEN(I596)+LEN(J596)+LEN(K596)+LEN(M596)+LEN(N596)+LEN(O596)+LEN(P596)+LEN(Q596)+LEN(R596)+LEN(S596)+LEN(T596))=0,"",IF(OR(A596="",B596="",C596="",D596="",E596="",J596="",K596="",N596=""),"⚠ Champ obligatoire manquant",IF(AND(ISNUMBER(K596),ISNUMBER(J596),N(K596)&gt;N(J596)),"⚠ Prix Autopiec &gt; prix public",IF(COUNTIFS($A$2:$A$1001,A596,$B$2:$B$1001,B596)&gt;1,"⚠ Référence en double","✔ OK"))))</f>
        <v/>
      </c>
    </row>
    <row r="597" customFormat="false" ht="15" hidden="false" customHeight="false" outlineLevel="0" collapsed="false">
      <c r="A597" s="11"/>
      <c r="B597" s="27"/>
      <c r="C597" s="11"/>
      <c r="D597" s="11"/>
      <c r="E597" s="11"/>
      <c r="F597" s="27"/>
      <c r="G597" s="27"/>
      <c r="H597" s="11"/>
      <c r="I597" s="11"/>
      <c r="J597" s="12"/>
      <c r="K597" s="12"/>
      <c r="L597" s="28" t="str">
        <f aca="false">IF(AND(ISNUMBER(J597),ISNUMBER(K597),N(J597)&gt;0),1-K597/J597,"")</f>
        <v/>
      </c>
      <c r="M597" s="29"/>
      <c r="N597" s="30"/>
      <c r="O597" s="30"/>
      <c r="P597" s="11"/>
      <c r="Q597" s="31"/>
      <c r="R597" s="11"/>
      <c r="S597" s="11"/>
      <c r="T597" s="11"/>
      <c r="U597" s="32" t="str">
        <f aca="false">IF((LEN(A597)+LEN(B597)+LEN(C597)+LEN(D597)+LEN(E597)+LEN(F597)+LEN(G597)+LEN(H597)+LEN(I597)+LEN(J597)+LEN(K597)+LEN(M597)+LEN(N597)+LEN(O597)+LEN(P597)+LEN(Q597)+LEN(R597)+LEN(S597)+LEN(T597))=0,"",IF(OR(A597="",B597="",C597="",D597="",E597="",J597="",K597="",N597=""),"⚠ Champ obligatoire manquant",IF(AND(ISNUMBER(K597),ISNUMBER(J597),N(K597)&gt;N(J597)),"⚠ Prix Autopiec &gt; prix public",IF(COUNTIFS($A$2:$A$1001,A597,$B$2:$B$1001,B597)&gt;1,"⚠ Référence en double","✔ OK"))))</f>
        <v/>
      </c>
    </row>
    <row r="598" customFormat="false" ht="15" hidden="false" customHeight="false" outlineLevel="0" collapsed="false">
      <c r="A598" s="11"/>
      <c r="B598" s="27"/>
      <c r="C598" s="11"/>
      <c r="D598" s="11"/>
      <c r="E598" s="11"/>
      <c r="F598" s="27"/>
      <c r="G598" s="27"/>
      <c r="H598" s="11"/>
      <c r="I598" s="11"/>
      <c r="J598" s="12"/>
      <c r="K598" s="12"/>
      <c r="L598" s="28" t="str">
        <f aca="false">IF(AND(ISNUMBER(J598),ISNUMBER(K598),N(J598)&gt;0),1-K598/J598,"")</f>
        <v/>
      </c>
      <c r="M598" s="29"/>
      <c r="N598" s="30"/>
      <c r="O598" s="30"/>
      <c r="P598" s="11"/>
      <c r="Q598" s="31"/>
      <c r="R598" s="11"/>
      <c r="S598" s="11"/>
      <c r="T598" s="11"/>
      <c r="U598" s="32" t="str">
        <f aca="false">IF((LEN(A598)+LEN(B598)+LEN(C598)+LEN(D598)+LEN(E598)+LEN(F598)+LEN(G598)+LEN(H598)+LEN(I598)+LEN(J598)+LEN(K598)+LEN(M598)+LEN(N598)+LEN(O598)+LEN(P598)+LEN(Q598)+LEN(R598)+LEN(S598)+LEN(T598))=0,"",IF(OR(A598="",B598="",C598="",D598="",E598="",J598="",K598="",N598=""),"⚠ Champ obligatoire manquant",IF(AND(ISNUMBER(K598),ISNUMBER(J598),N(K598)&gt;N(J598)),"⚠ Prix Autopiec &gt; prix public",IF(COUNTIFS($A$2:$A$1001,A598,$B$2:$B$1001,B598)&gt;1,"⚠ Référence en double","✔ OK"))))</f>
        <v/>
      </c>
    </row>
    <row r="599" customFormat="false" ht="15" hidden="false" customHeight="false" outlineLevel="0" collapsed="false">
      <c r="A599" s="11"/>
      <c r="B599" s="27"/>
      <c r="C599" s="11"/>
      <c r="D599" s="11"/>
      <c r="E599" s="11"/>
      <c r="F599" s="27"/>
      <c r="G599" s="27"/>
      <c r="H599" s="11"/>
      <c r="I599" s="11"/>
      <c r="J599" s="12"/>
      <c r="K599" s="12"/>
      <c r="L599" s="28" t="str">
        <f aca="false">IF(AND(ISNUMBER(J599),ISNUMBER(K599),N(J599)&gt;0),1-K599/J599,"")</f>
        <v/>
      </c>
      <c r="M599" s="29"/>
      <c r="N599" s="30"/>
      <c r="O599" s="30"/>
      <c r="P599" s="11"/>
      <c r="Q599" s="31"/>
      <c r="R599" s="11"/>
      <c r="S599" s="11"/>
      <c r="T599" s="11"/>
      <c r="U599" s="32" t="str">
        <f aca="false">IF((LEN(A599)+LEN(B599)+LEN(C599)+LEN(D599)+LEN(E599)+LEN(F599)+LEN(G599)+LEN(H599)+LEN(I599)+LEN(J599)+LEN(K599)+LEN(M599)+LEN(N599)+LEN(O599)+LEN(P599)+LEN(Q599)+LEN(R599)+LEN(S599)+LEN(T599))=0,"",IF(OR(A599="",B599="",C599="",D599="",E599="",J599="",K599="",N599=""),"⚠ Champ obligatoire manquant",IF(AND(ISNUMBER(K599),ISNUMBER(J599),N(K599)&gt;N(J599)),"⚠ Prix Autopiec &gt; prix public",IF(COUNTIFS($A$2:$A$1001,A599,$B$2:$B$1001,B599)&gt;1,"⚠ Référence en double","✔ OK"))))</f>
        <v/>
      </c>
    </row>
    <row r="600" customFormat="false" ht="15" hidden="false" customHeight="false" outlineLevel="0" collapsed="false">
      <c r="A600" s="11"/>
      <c r="B600" s="27"/>
      <c r="C600" s="11"/>
      <c r="D600" s="11"/>
      <c r="E600" s="11"/>
      <c r="F600" s="27"/>
      <c r="G600" s="27"/>
      <c r="H600" s="11"/>
      <c r="I600" s="11"/>
      <c r="J600" s="12"/>
      <c r="K600" s="12"/>
      <c r="L600" s="28" t="str">
        <f aca="false">IF(AND(ISNUMBER(J600),ISNUMBER(K600),N(J600)&gt;0),1-K600/J600,"")</f>
        <v/>
      </c>
      <c r="M600" s="29"/>
      <c r="N600" s="30"/>
      <c r="O600" s="30"/>
      <c r="P600" s="11"/>
      <c r="Q600" s="31"/>
      <c r="R600" s="11"/>
      <c r="S600" s="11"/>
      <c r="T600" s="11"/>
      <c r="U600" s="32" t="str">
        <f aca="false">IF((LEN(A600)+LEN(B600)+LEN(C600)+LEN(D600)+LEN(E600)+LEN(F600)+LEN(G600)+LEN(H600)+LEN(I600)+LEN(J600)+LEN(K600)+LEN(M600)+LEN(N600)+LEN(O600)+LEN(P600)+LEN(Q600)+LEN(R600)+LEN(S600)+LEN(T600))=0,"",IF(OR(A600="",B600="",C600="",D600="",E600="",J600="",K600="",N600=""),"⚠ Champ obligatoire manquant",IF(AND(ISNUMBER(K600),ISNUMBER(J600),N(K600)&gt;N(J600)),"⚠ Prix Autopiec &gt; prix public",IF(COUNTIFS($A$2:$A$1001,A600,$B$2:$B$1001,B600)&gt;1,"⚠ Référence en double","✔ OK"))))</f>
        <v/>
      </c>
    </row>
    <row r="601" customFormat="false" ht="15" hidden="false" customHeight="false" outlineLevel="0" collapsed="false">
      <c r="A601" s="11"/>
      <c r="B601" s="27"/>
      <c r="C601" s="11"/>
      <c r="D601" s="11"/>
      <c r="E601" s="11"/>
      <c r="F601" s="27"/>
      <c r="G601" s="27"/>
      <c r="H601" s="11"/>
      <c r="I601" s="11"/>
      <c r="J601" s="12"/>
      <c r="K601" s="12"/>
      <c r="L601" s="28" t="str">
        <f aca="false">IF(AND(ISNUMBER(J601),ISNUMBER(K601),N(J601)&gt;0),1-K601/J601,"")</f>
        <v/>
      </c>
      <c r="M601" s="29"/>
      <c r="N601" s="30"/>
      <c r="O601" s="30"/>
      <c r="P601" s="11"/>
      <c r="Q601" s="31"/>
      <c r="R601" s="11"/>
      <c r="S601" s="11"/>
      <c r="T601" s="11"/>
      <c r="U601" s="32" t="str">
        <f aca="false">IF((LEN(A601)+LEN(B601)+LEN(C601)+LEN(D601)+LEN(E601)+LEN(F601)+LEN(G601)+LEN(H601)+LEN(I601)+LEN(J601)+LEN(K601)+LEN(M601)+LEN(N601)+LEN(O601)+LEN(P601)+LEN(Q601)+LEN(R601)+LEN(S601)+LEN(T601))=0,"",IF(OR(A601="",B601="",C601="",D601="",E601="",J601="",K601="",N601=""),"⚠ Champ obligatoire manquant",IF(AND(ISNUMBER(K601),ISNUMBER(J601),N(K601)&gt;N(J601)),"⚠ Prix Autopiec &gt; prix public",IF(COUNTIFS($A$2:$A$1001,A601,$B$2:$B$1001,B601)&gt;1,"⚠ Référence en double","✔ OK"))))</f>
        <v/>
      </c>
    </row>
    <row r="602" customFormat="false" ht="15" hidden="false" customHeight="false" outlineLevel="0" collapsed="false">
      <c r="A602" s="11"/>
      <c r="B602" s="27"/>
      <c r="C602" s="11"/>
      <c r="D602" s="11"/>
      <c r="E602" s="11"/>
      <c r="F602" s="27"/>
      <c r="G602" s="27"/>
      <c r="H602" s="11"/>
      <c r="I602" s="11"/>
      <c r="J602" s="12"/>
      <c r="K602" s="12"/>
      <c r="L602" s="28" t="str">
        <f aca="false">IF(AND(ISNUMBER(J602),ISNUMBER(K602),N(J602)&gt;0),1-K602/J602,"")</f>
        <v/>
      </c>
      <c r="M602" s="29"/>
      <c r="N602" s="30"/>
      <c r="O602" s="30"/>
      <c r="P602" s="11"/>
      <c r="Q602" s="31"/>
      <c r="R602" s="11"/>
      <c r="S602" s="11"/>
      <c r="T602" s="11"/>
      <c r="U602" s="32" t="str">
        <f aca="false">IF((LEN(A602)+LEN(B602)+LEN(C602)+LEN(D602)+LEN(E602)+LEN(F602)+LEN(G602)+LEN(H602)+LEN(I602)+LEN(J602)+LEN(K602)+LEN(M602)+LEN(N602)+LEN(O602)+LEN(P602)+LEN(Q602)+LEN(R602)+LEN(S602)+LEN(T602))=0,"",IF(OR(A602="",B602="",C602="",D602="",E602="",J602="",K602="",N602=""),"⚠ Champ obligatoire manquant",IF(AND(ISNUMBER(K602),ISNUMBER(J602),N(K602)&gt;N(J602)),"⚠ Prix Autopiec &gt; prix public",IF(COUNTIFS($A$2:$A$1001,A602,$B$2:$B$1001,B602)&gt;1,"⚠ Référence en double","✔ OK"))))</f>
        <v/>
      </c>
    </row>
    <row r="603" customFormat="false" ht="15" hidden="false" customHeight="false" outlineLevel="0" collapsed="false">
      <c r="A603" s="11"/>
      <c r="B603" s="27"/>
      <c r="C603" s="11"/>
      <c r="D603" s="11"/>
      <c r="E603" s="11"/>
      <c r="F603" s="27"/>
      <c r="G603" s="27"/>
      <c r="H603" s="11"/>
      <c r="I603" s="11"/>
      <c r="J603" s="12"/>
      <c r="K603" s="12"/>
      <c r="L603" s="28" t="str">
        <f aca="false">IF(AND(ISNUMBER(J603),ISNUMBER(K603),N(J603)&gt;0),1-K603/J603,"")</f>
        <v/>
      </c>
      <c r="M603" s="29"/>
      <c r="N603" s="30"/>
      <c r="O603" s="30"/>
      <c r="P603" s="11"/>
      <c r="Q603" s="31"/>
      <c r="R603" s="11"/>
      <c r="S603" s="11"/>
      <c r="T603" s="11"/>
      <c r="U603" s="32" t="str">
        <f aca="false">IF((LEN(A603)+LEN(B603)+LEN(C603)+LEN(D603)+LEN(E603)+LEN(F603)+LEN(G603)+LEN(H603)+LEN(I603)+LEN(J603)+LEN(K603)+LEN(M603)+LEN(N603)+LEN(O603)+LEN(P603)+LEN(Q603)+LEN(R603)+LEN(S603)+LEN(T603))=0,"",IF(OR(A603="",B603="",C603="",D603="",E603="",J603="",K603="",N603=""),"⚠ Champ obligatoire manquant",IF(AND(ISNUMBER(K603),ISNUMBER(J603),N(K603)&gt;N(J603)),"⚠ Prix Autopiec &gt; prix public",IF(COUNTIFS($A$2:$A$1001,A603,$B$2:$B$1001,B603)&gt;1,"⚠ Référence en double","✔ OK"))))</f>
        <v/>
      </c>
    </row>
    <row r="604" customFormat="false" ht="15" hidden="false" customHeight="false" outlineLevel="0" collapsed="false">
      <c r="A604" s="11"/>
      <c r="B604" s="27"/>
      <c r="C604" s="11"/>
      <c r="D604" s="11"/>
      <c r="E604" s="11"/>
      <c r="F604" s="27"/>
      <c r="G604" s="27"/>
      <c r="H604" s="11"/>
      <c r="I604" s="11"/>
      <c r="J604" s="12"/>
      <c r="K604" s="12"/>
      <c r="L604" s="28" t="str">
        <f aca="false">IF(AND(ISNUMBER(J604),ISNUMBER(K604),N(J604)&gt;0),1-K604/J604,"")</f>
        <v/>
      </c>
      <c r="M604" s="29"/>
      <c r="N604" s="30"/>
      <c r="O604" s="30"/>
      <c r="P604" s="11"/>
      <c r="Q604" s="31"/>
      <c r="R604" s="11"/>
      <c r="S604" s="11"/>
      <c r="T604" s="11"/>
      <c r="U604" s="32" t="str">
        <f aca="false">IF((LEN(A604)+LEN(B604)+LEN(C604)+LEN(D604)+LEN(E604)+LEN(F604)+LEN(G604)+LEN(H604)+LEN(I604)+LEN(J604)+LEN(K604)+LEN(M604)+LEN(N604)+LEN(O604)+LEN(P604)+LEN(Q604)+LEN(R604)+LEN(S604)+LEN(T604))=0,"",IF(OR(A604="",B604="",C604="",D604="",E604="",J604="",K604="",N604=""),"⚠ Champ obligatoire manquant",IF(AND(ISNUMBER(K604),ISNUMBER(J604),N(K604)&gt;N(J604)),"⚠ Prix Autopiec &gt; prix public",IF(COUNTIFS($A$2:$A$1001,A604,$B$2:$B$1001,B604)&gt;1,"⚠ Référence en double","✔ OK"))))</f>
        <v/>
      </c>
    </row>
    <row r="605" customFormat="false" ht="15" hidden="false" customHeight="false" outlineLevel="0" collapsed="false">
      <c r="A605" s="11"/>
      <c r="B605" s="27"/>
      <c r="C605" s="11"/>
      <c r="D605" s="11"/>
      <c r="E605" s="11"/>
      <c r="F605" s="27"/>
      <c r="G605" s="27"/>
      <c r="H605" s="11"/>
      <c r="I605" s="11"/>
      <c r="J605" s="12"/>
      <c r="K605" s="12"/>
      <c r="L605" s="28" t="str">
        <f aca="false">IF(AND(ISNUMBER(J605),ISNUMBER(K605),N(J605)&gt;0),1-K605/J605,"")</f>
        <v/>
      </c>
      <c r="M605" s="29"/>
      <c r="N605" s="30"/>
      <c r="O605" s="30"/>
      <c r="P605" s="11"/>
      <c r="Q605" s="31"/>
      <c r="R605" s="11"/>
      <c r="S605" s="11"/>
      <c r="T605" s="11"/>
      <c r="U605" s="32" t="str">
        <f aca="false">IF((LEN(A605)+LEN(B605)+LEN(C605)+LEN(D605)+LEN(E605)+LEN(F605)+LEN(G605)+LEN(H605)+LEN(I605)+LEN(J605)+LEN(K605)+LEN(M605)+LEN(N605)+LEN(O605)+LEN(P605)+LEN(Q605)+LEN(R605)+LEN(S605)+LEN(T605))=0,"",IF(OR(A605="",B605="",C605="",D605="",E605="",J605="",K605="",N605=""),"⚠ Champ obligatoire manquant",IF(AND(ISNUMBER(K605),ISNUMBER(J605),N(K605)&gt;N(J605)),"⚠ Prix Autopiec &gt; prix public",IF(COUNTIFS($A$2:$A$1001,A605,$B$2:$B$1001,B605)&gt;1,"⚠ Référence en double","✔ OK"))))</f>
        <v/>
      </c>
    </row>
    <row r="606" customFormat="false" ht="15" hidden="false" customHeight="false" outlineLevel="0" collapsed="false">
      <c r="A606" s="11"/>
      <c r="B606" s="27"/>
      <c r="C606" s="11"/>
      <c r="D606" s="11"/>
      <c r="E606" s="11"/>
      <c r="F606" s="27"/>
      <c r="G606" s="27"/>
      <c r="H606" s="11"/>
      <c r="I606" s="11"/>
      <c r="J606" s="12"/>
      <c r="K606" s="12"/>
      <c r="L606" s="28" t="str">
        <f aca="false">IF(AND(ISNUMBER(J606),ISNUMBER(K606),N(J606)&gt;0),1-K606/J606,"")</f>
        <v/>
      </c>
      <c r="M606" s="29"/>
      <c r="N606" s="30"/>
      <c r="O606" s="30"/>
      <c r="P606" s="11"/>
      <c r="Q606" s="31"/>
      <c r="R606" s="11"/>
      <c r="S606" s="11"/>
      <c r="T606" s="11"/>
      <c r="U606" s="32" t="str">
        <f aca="false">IF((LEN(A606)+LEN(B606)+LEN(C606)+LEN(D606)+LEN(E606)+LEN(F606)+LEN(G606)+LEN(H606)+LEN(I606)+LEN(J606)+LEN(K606)+LEN(M606)+LEN(N606)+LEN(O606)+LEN(P606)+LEN(Q606)+LEN(R606)+LEN(S606)+LEN(T606))=0,"",IF(OR(A606="",B606="",C606="",D606="",E606="",J606="",K606="",N606=""),"⚠ Champ obligatoire manquant",IF(AND(ISNUMBER(K606),ISNUMBER(J606),N(K606)&gt;N(J606)),"⚠ Prix Autopiec &gt; prix public",IF(COUNTIFS($A$2:$A$1001,A606,$B$2:$B$1001,B606)&gt;1,"⚠ Référence en double","✔ OK"))))</f>
        <v/>
      </c>
    </row>
    <row r="607" customFormat="false" ht="15" hidden="false" customHeight="false" outlineLevel="0" collapsed="false">
      <c r="A607" s="11"/>
      <c r="B607" s="27"/>
      <c r="C607" s="11"/>
      <c r="D607" s="11"/>
      <c r="E607" s="11"/>
      <c r="F607" s="27"/>
      <c r="G607" s="27"/>
      <c r="H607" s="11"/>
      <c r="I607" s="11"/>
      <c r="J607" s="12"/>
      <c r="K607" s="12"/>
      <c r="L607" s="28" t="str">
        <f aca="false">IF(AND(ISNUMBER(J607),ISNUMBER(K607),N(J607)&gt;0),1-K607/J607,"")</f>
        <v/>
      </c>
      <c r="M607" s="29"/>
      <c r="N607" s="30"/>
      <c r="O607" s="30"/>
      <c r="P607" s="11"/>
      <c r="Q607" s="31"/>
      <c r="R607" s="11"/>
      <c r="S607" s="11"/>
      <c r="T607" s="11"/>
      <c r="U607" s="32" t="str">
        <f aca="false">IF((LEN(A607)+LEN(B607)+LEN(C607)+LEN(D607)+LEN(E607)+LEN(F607)+LEN(G607)+LEN(H607)+LEN(I607)+LEN(J607)+LEN(K607)+LEN(M607)+LEN(N607)+LEN(O607)+LEN(P607)+LEN(Q607)+LEN(R607)+LEN(S607)+LEN(T607))=0,"",IF(OR(A607="",B607="",C607="",D607="",E607="",J607="",K607="",N607=""),"⚠ Champ obligatoire manquant",IF(AND(ISNUMBER(K607),ISNUMBER(J607),N(K607)&gt;N(J607)),"⚠ Prix Autopiec &gt; prix public",IF(COUNTIFS($A$2:$A$1001,A607,$B$2:$B$1001,B607)&gt;1,"⚠ Référence en double","✔ OK"))))</f>
        <v/>
      </c>
    </row>
    <row r="608" customFormat="false" ht="15" hidden="false" customHeight="false" outlineLevel="0" collapsed="false">
      <c r="A608" s="11"/>
      <c r="B608" s="27"/>
      <c r="C608" s="11"/>
      <c r="D608" s="11"/>
      <c r="E608" s="11"/>
      <c r="F608" s="27"/>
      <c r="G608" s="27"/>
      <c r="H608" s="11"/>
      <c r="I608" s="11"/>
      <c r="J608" s="12"/>
      <c r="K608" s="12"/>
      <c r="L608" s="28" t="str">
        <f aca="false">IF(AND(ISNUMBER(J608),ISNUMBER(K608),N(J608)&gt;0),1-K608/J608,"")</f>
        <v/>
      </c>
      <c r="M608" s="29"/>
      <c r="N608" s="30"/>
      <c r="O608" s="30"/>
      <c r="P608" s="11"/>
      <c r="Q608" s="31"/>
      <c r="R608" s="11"/>
      <c r="S608" s="11"/>
      <c r="T608" s="11"/>
      <c r="U608" s="32" t="str">
        <f aca="false">IF((LEN(A608)+LEN(B608)+LEN(C608)+LEN(D608)+LEN(E608)+LEN(F608)+LEN(G608)+LEN(H608)+LEN(I608)+LEN(J608)+LEN(K608)+LEN(M608)+LEN(N608)+LEN(O608)+LEN(P608)+LEN(Q608)+LEN(R608)+LEN(S608)+LEN(T608))=0,"",IF(OR(A608="",B608="",C608="",D608="",E608="",J608="",K608="",N608=""),"⚠ Champ obligatoire manquant",IF(AND(ISNUMBER(K608),ISNUMBER(J608),N(K608)&gt;N(J608)),"⚠ Prix Autopiec &gt; prix public",IF(COUNTIFS($A$2:$A$1001,A608,$B$2:$B$1001,B608)&gt;1,"⚠ Référence en double","✔ OK"))))</f>
        <v/>
      </c>
    </row>
    <row r="609" customFormat="false" ht="15" hidden="false" customHeight="false" outlineLevel="0" collapsed="false">
      <c r="A609" s="11"/>
      <c r="B609" s="27"/>
      <c r="C609" s="11"/>
      <c r="D609" s="11"/>
      <c r="E609" s="11"/>
      <c r="F609" s="27"/>
      <c r="G609" s="27"/>
      <c r="H609" s="11"/>
      <c r="I609" s="11"/>
      <c r="J609" s="12"/>
      <c r="K609" s="12"/>
      <c r="L609" s="28" t="str">
        <f aca="false">IF(AND(ISNUMBER(J609),ISNUMBER(K609),N(J609)&gt;0),1-K609/J609,"")</f>
        <v/>
      </c>
      <c r="M609" s="29"/>
      <c r="N609" s="30"/>
      <c r="O609" s="30"/>
      <c r="P609" s="11"/>
      <c r="Q609" s="31"/>
      <c r="R609" s="11"/>
      <c r="S609" s="11"/>
      <c r="T609" s="11"/>
      <c r="U609" s="32" t="str">
        <f aca="false">IF((LEN(A609)+LEN(B609)+LEN(C609)+LEN(D609)+LEN(E609)+LEN(F609)+LEN(G609)+LEN(H609)+LEN(I609)+LEN(J609)+LEN(K609)+LEN(M609)+LEN(N609)+LEN(O609)+LEN(P609)+LEN(Q609)+LEN(R609)+LEN(S609)+LEN(T609))=0,"",IF(OR(A609="",B609="",C609="",D609="",E609="",J609="",K609="",N609=""),"⚠ Champ obligatoire manquant",IF(AND(ISNUMBER(K609),ISNUMBER(J609),N(K609)&gt;N(J609)),"⚠ Prix Autopiec &gt; prix public",IF(COUNTIFS($A$2:$A$1001,A609,$B$2:$B$1001,B609)&gt;1,"⚠ Référence en double","✔ OK"))))</f>
        <v/>
      </c>
    </row>
    <row r="610" customFormat="false" ht="15" hidden="false" customHeight="false" outlineLevel="0" collapsed="false">
      <c r="A610" s="11"/>
      <c r="B610" s="27"/>
      <c r="C610" s="11"/>
      <c r="D610" s="11"/>
      <c r="E610" s="11"/>
      <c r="F610" s="27"/>
      <c r="G610" s="27"/>
      <c r="H610" s="11"/>
      <c r="I610" s="11"/>
      <c r="J610" s="12"/>
      <c r="K610" s="12"/>
      <c r="L610" s="28" t="str">
        <f aca="false">IF(AND(ISNUMBER(J610),ISNUMBER(K610),N(J610)&gt;0),1-K610/J610,"")</f>
        <v/>
      </c>
      <c r="M610" s="29"/>
      <c r="N610" s="30"/>
      <c r="O610" s="30"/>
      <c r="P610" s="11"/>
      <c r="Q610" s="31"/>
      <c r="R610" s="11"/>
      <c r="S610" s="11"/>
      <c r="T610" s="11"/>
      <c r="U610" s="32" t="str">
        <f aca="false">IF((LEN(A610)+LEN(B610)+LEN(C610)+LEN(D610)+LEN(E610)+LEN(F610)+LEN(G610)+LEN(H610)+LEN(I610)+LEN(J610)+LEN(K610)+LEN(M610)+LEN(N610)+LEN(O610)+LEN(P610)+LEN(Q610)+LEN(R610)+LEN(S610)+LEN(T610))=0,"",IF(OR(A610="",B610="",C610="",D610="",E610="",J610="",K610="",N610=""),"⚠ Champ obligatoire manquant",IF(AND(ISNUMBER(K610),ISNUMBER(J610),N(K610)&gt;N(J610)),"⚠ Prix Autopiec &gt; prix public",IF(COUNTIFS($A$2:$A$1001,A610,$B$2:$B$1001,B610)&gt;1,"⚠ Référence en double","✔ OK"))))</f>
        <v/>
      </c>
    </row>
    <row r="611" customFormat="false" ht="15" hidden="false" customHeight="false" outlineLevel="0" collapsed="false">
      <c r="A611" s="11"/>
      <c r="B611" s="27"/>
      <c r="C611" s="11"/>
      <c r="D611" s="11"/>
      <c r="E611" s="11"/>
      <c r="F611" s="27"/>
      <c r="G611" s="27"/>
      <c r="H611" s="11"/>
      <c r="I611" s="11"/>
      <c r="J611" s="12"/>
      <c r="K611" s="12"/>
      <c r="L611" s="28" t="str">
        <f aca="false">IF(AND(ISNUMBER(J611),ISNUMBER(K611),N(J611)&gt;0),1-K611/J611,"")</f>
        <v/>
      </c>
      <c r="M611" s="29"/>
      <c r="N611" s="30"/>
      <c r="O611" s="30"/>
      <c r="P611" s="11"/>
      <c r="Q611" s="31"/>
      <c r="R611" s="11"/>
      <c r="S611" s="11"/>
      <c r="T611" s="11"/>
      <c r="U611" s="32" t="str">
        <f aca="false">IF((LEN(A611)+LEN(B611)+LEN(C611)+LEN(D611)+LEN(E611)+LEN(F611)+LEN(G611)+LEN(H611)+LEN(I611)+LEN(J611)+LEN(K611)+LEN(M611)+LEN(N611)+LEN(O611)+LEN(P611)+LEN(Q611)+LEN(R611)+LEN(S611)+LEN(T611))=0,"",IF(OR(A611="",B611="",C611="",D611="",E611="",J611="",K611="",N611=""),"⚠ Champ obligatoire manquant",IF(AND(ISNUMBER(K611),ISNUMBER(J611),N(K611)&gt;N(J611)),"⚠ Prix Autopiec &gt; prix public",IF(COUNTIFS($A$2:$A$1001,A611,$B$2:$B$1001,B611)&gt;1,"⚠ Référence en double","✔ OK"))))</f>
        <v/>
      </c>
    </row>
    <row r="612" customFormat="false" ht="15" hidden="false" customHeight="false" outlineLevel="0" collapsed="false">
      <c r="A612" s="11"/>
      <c r="B612" s="27"/>
      <c r="C612" s="11"/>
      <c r="D612" s="11"/>
      <c r="E612" s="11"/>
      <c r="F612" s="27"/>
      <c r="G612" s="27"/>
      <c r="H612" s="11"/>
      <c r="I612" s="11"/>
      <c r="J612" s="12"/>
      <c r="K612" s="12"/>
      <c r="L612" s="28" t="str">
        <f aca="false">IF(AND(ISNUMBER(J612),ISNUMBER(K612),N(J612)&gt;0),1-K612/J612,"")</f>
        <v/>
      </c>
      <c r="M612" s="29"/>
      <c r="N612" s="30"/>
      <c r="O612" s="30"/>
      <c r="P612" s="11"/>
      <c r="Q612" s="31"/>
      <c r="R612" s="11"/>
      <c r="S612" s="11"/>
      <c r="T612" s="11"/>
      <c r="U612" s="32" t="str">
        <f aca="false">IF((LEN(A612)+LEN(B612)+LEN(C612)+LEN(D612)+LEN(E612)+LEN(F612)+LEN(G612)+LEN(H612)+LEN(I612)+LEN(J612)+LEN(K612)+LEN(M612)+LEN(N612)+LEN(O612)+LEN(P612)+LEN(Q612)+LEN(R612)+LEN(S612)+LEN(T612))=0,"",IF(OR(A612="",B612="",C612="",D612="",E612="",J612="",K612="",N612=""),"⚠ Champ obligatoire manquant",IF(AND(ISNUMBER(K612),ISNUMBER(J612),N(K612)&gt;N(J612)),"⚠ Prix Autopiec &gt; prix public",IF(COUNTIFS($A$2:$A$1001,A612,$B$2:$B$1001,B612)&gt;1,"⚠ Référence en double","✔ OK"))))</f>
        <v/>
      </c>
    </row>
    <row r="613" customFormat="false" ht="15" hidden="false" customHeight="false" outlineLevel="0" collapsed="false">
      <c r="A613" s="11"/>
      <c r="B613" s="27"/>
      <c r="C613" s="11"/>
      <c r="D613" s="11"/>
      <c r="E613" s="11"/>
      <c r="F613" s="27"/>
      <c r="G613" s="27"/>
      <c r="H613" s="11"/>
      <c r="I613" s="11"/>
      <c r="J613" s="12"/>
      <c r="K613" s="12"/>
      <c r="L613" s="28" t="str">
        <f aca="false">IF(AND(ISNUMBER(J613),ISNUMBER(K613),N(J613)&gt;0),1-K613/J613,"")</f>
        <v/>
      </c>
      <c r="M613" s="29"/>
      <c r="N613" s="30"/>
      <c r="O613" s="30"/>
      <c r="P613" s="11"/>
      <c r="Q613" s="31"/>
      <c r="R613" s="11"/>
      <c r="S613" s="11"/>
      <c r="T613" s="11"/>
      <c r="U613" s="32" t="str">
        <f aca="false">IF((LEN(A613)+LEN(B613)+LEN(C613)+LEN(D613)+LEN(E613)+LEN(F613)+LEN(G613)+LEN(H613)+LEN(I613)+LEN(J613)+LEN(K613)+LEN(M613)+LEN(N613)+LEN(O613)+LEN(P613)+LEN(Q613)+LEN(R613)+LEN(S613)+LEN(T613))=0,"",IF(OR(A613="",B613="",C613="",D613="",E613="",J613="",K613="",N613=""),"⚠ Champ obligatoire manquant",IF(AND(ISNUMBER(K613),ISNUMBER(J613),N(K613)&gt;N(J613)),"⚠ Prix Autopiec &gt; prix public",IF(COUNTIFS($A$2:$A$1001,A613,$B$2:$B$1001,B613)&gt;1,"⚠ Référence en double","✔ OK"))))</f>
        <v/>
      </c>
    </row>
    <row r="614" customFormat="false" ht="15" hidden="false" customHeight="false" outlineLevel="0" collapsed="false">
      <c r="A614" s="11"/>
      <c r="B614" s="27"/>
      <c r="C614" s="11"/>
      <c r="D614" s="11"/>
      <c r="E614" s="11"/>
      <c r="F614" s="27"/>
      <c r="G614" s="27"/>
      <c r="H614" s="11"/>
      <c r="I614" s="11"/>
      <c r="J614" s="12"/>
      <c r="K614" s="12"/>
      <c r="L614" s="28" t="str">
        <f aca="false">IF(AND(ISNUMBER(J614),ISNUMBER(K614),N(J614)&gt;0),1-K614/J614,"")</f>
        <v/>
      </c>
      <c r="M614" s="29"/>
      <c r="N614" s="30"/>
      <c r="O614" s="30"/>
      <c r="P614" s="11"/>
      <c r="Q614" s="31"/>
      <c r="R614" s="11"/>
      <c r="S614" s="11"/>
      <c r="T614" s="11"/>
      <c r="U614" s="32" t="str">
        <f aca="false">IF((LEN(A614)+LEN(B614)+LEN(C614)+LEN(D614)+LEN(E614)+LEN(F614)+LEN(G614)+LEN(H614)+LEN(I614)+LEN(J614)+LEN(K614)+LEN(M614)+LEN(N614)+LEN(O614)+LEN(P614)+LEN(Q614)+LEN(R614)+LEN(S614)+LEN(T614))=0,"",IF(OR(A614="",B614="",C614="",D614="",E614="",J614="",K614="",N614=""),"⚠ Champ obligatoire manquant",IF(AND(ISNUMBER(K614),ISNUMBER(J614),N(K614)&gt;N(J614)),"⚠ Prix Autopiec &gt; prix public",IF(COUNTIFS($A$2:$A$1001,A614,$B$2:$B$1001,B614)&gt;1,"⚠ Référence en double","✔ OK"))))</f>
        <v/>
      </c>
    </row>
    <row r="615" customFormat="false" ht="15" hidden="false" customHeight="false" outlineLevel="0" collapsed="false">
      <c r="A615" s="11"/>
      <c r="B615" s="27"/>
      <c r="C615" s="11"/>
      <c r="D615" s="11"/>
      <c r="E615" s="11"/>
      <c r="F615" s="27"/>
      <c r="G615" s="27"/>
      <c r="H615" s="11"/>
      <c r="I615" s="11"/>
      <c r="J615" s="12"/>
      <c r="K615" s="12"/>
      <c r="L615" s="28" t="str">
        <f aca="false">IF(AND(ISNUMBER(J615),ISNUMBER(K615),N(J615)&gt;0),1-K615/J615,"")</f>
        <v/>
      </c>
      <c r="M615" s="29"/>
      <c r="N615" s="30"/>
      <c r="O615" s="30"/>
      <c r="P615" s="11"/>
      <c r="Q615" s="31"/>
      <c r="R615" s="11"/>
      <c r="S615" s="11"/>
      <c r="T615" s="11"/>
      <c r="U615" s="32" t="str">
        <f aca="false">IF((LEN(A615)+LEN(B615)+LEN(C615)+LEN(D615)+LEN(E615)+LEN(F615)+LEN(G615)+LEN(H615)+LEN(I615)+LEN(J615)+LEN(K615)+LEN(M615)+LEN(N615)+LEN(O615)+LEN(P615)+LEN(Q615)+LEN(R615)+LEN(S615)+LEN(T615))=0,"",IF(OR(A615="",B615="",C615="",D615="",E615="",J615="",K615="",N615=""),"⚠ Champ obligatoire manquant",IF(AND(ISNUMBER(K615),ISNUMBER(J615),N(K615)&gt;N(J615)),"⚠ Prix Autopiec &gt; prix public",IF(COUNTIFS($A$2:$A$1001,A615,$B$2:$B$1001,B615)&gt;1,"⚠ Référence en double","✔ OK"))))</f>
        <v/>
      </c>
    </row>
    <row r="616" customFormat="false" ht="15" hidden="false" customHeight="false" outlineLevel="0" collapsed="false">
      <c r="A616" s="11"/>
      <c r="B616" s="27"/>
      <c r="C616" s="11"/>
      <c r="D616" s="11"/>
      <c r="E616" s="11"/>
      <c r="F616" s="27"/>
      <c r="G616" s="27"/>
      <c r="H616" s="11"/>
      <c r="I616" s="11"/>
      <c r="J616" s="12"/>
      <c r="K616" s="12"/>
      <c r="L616" s="28" t="str">
        <f aca="false">IF(AND(ISNUMBER(J616),ISNUMBER(K616),N(J616)&gt;0),1-K616/J616,"")</f>
        <v/>
      </c>
      <c r="M616" s="29"/>
      <c r="N616" s="30"/>
      <c r="O616" s="30"/>
      <c r="P616" s="11"/>
      <c r="Q616" s="31"/>
      <c r="R616" s="11"/>
      <c r="S616" s="11"/>
      <c r="T616" s="11"/>
      <c r="U616" s="32" t="str">
        <f aca="false">IF((LEN(A616)+LEN(B616)+LEN(C616)+LEN(D616)+LEN(E616)+LEN(F616)+LEN(G616)+LEN(H616)+LEN(I616)+LEN(J616)+LEN(K616)+LEN(M616)+LEN(N616)+LEN(O616)+LEN(P616)+LEN(Q616)+LEN(R616)+LEN(S616)+LEN(T616))=0,"",IF(OR(A616="",B616="",C616="",D616="",E616="",J616="",K616="",N616=""),"⚠ Champ obligatoire manquant",IF(AND(ISNUMBER(K616),ISNUMBER(J616),N(K616)&gt;N(J616)),"⚠ Prix Autopiec &gt; prix public",IF(COUNTIFS($A$2:$A$1001,A616,$B$2:$B$1001,B616)&gt;1,"⚠ Référence en double","✔ OK"))))</f>
        <v/>
      </c>
    </row>
    <row r="617" customFormat="false" ht="15" hidden="false" customHeight="false" outlineLevel="0" collapsed="false">
      <c r="A617" s="11"/>
      <c r="B617" s="27"/>
      <c r="C617" s="11"/>
      <c r="D617" s="11"/>
      <c r="E617" s="11"/>
      <c r="F617" s="27"/>
      <c r="G617" s="27"/>
      <c r="H617" s="11"/>
      <c r="I617" s="11"/>
      <c r="J617" s="12"/>
      <c r="K617" s="12"/>
      <c r="L617" s="28" t="str">
        <f aca="false">IF(AND(ISNUMBER(J617),ISNUMBER(K617),N(J617)&gt;0),1-K617/J617,"")</f>
        <v/>
      </c>
      <c r="M617" s="29"/>
      <c r="N617" s="30"/>
      <c r="O617" s="30"/>
      <c r="P617" s="11"/>
      <c r="Q617" s="31"/>
      <c r="R617" s="11"/>
      <c r="S617" s="11"/>
      <c r="T617" s="11"/>
      <c r="U617" s="32" t="str">
        <f aca="false">IF((LEN(A617)+LEN(B617)+LEN(C617)+LEN(D617)+LEN(E617)+LEN(F617)+LEN(G617)+LEN(H617)+LEN(I617)+LEN(J617)+LEN(K617)+LEN(M617)+LEN(N617)+LEN(O617)+LEN(P617)+LEN(Q617)+LEN(R617)+LEN(S617)+LEN(T617))=0,"",IF(OR(A617="",B617="",C617="",D617="",E617="",J617="",K617="",N617=""),"⚠ Champ obligatoire manquant",IF(AND(ISNUMBER(K617),ISNUMBER(J617),N(K617)&gt;N(J617)),"⚠ Prix Autopiec &gt; prix public",IF(COUNTIFS($A$2:$A$1001,A617,$B$2:$B$1001,B617)&gt;1,"⚠ Référence en double","✔ OK"))))</f>
        <v/>
      </c>
    </row>
    <row r="618" customFormat="false" ht="15" hidden="false" customHeight="false" outlineLevel="0" collapsed="false">
      <c r="A618" s="11"/>
      <c r="B618" s="27"/>
      <c r="C618" s="11"/>
      <c r="D618" s="11"/>
      <c r="E618" s="11"/>
      <c r="F618" s="27"/>
      <c r="G618" s="27"/>
      <c r="H618" s="11"/>
      <c r="I618" s="11"/>
      <c r="J618" s="12"/>
      <c r="K618" s="12"/>
      <c r="L618" s="28" t="str">
        <f aca="false">IF(AND(ISNUMBER(J618),ISNUMBER(K618),N(J618)&gt;0),1-K618/J618,"")</f>
        <v/>
      </c>
      <c r="M618" s="29"/>
      <c r="N618" s="30"/>
      <c r="O618" s="30"/>
      <c r="P618" s="11"/>
      <c r="Q618" s="31"/>
      <c r="R618" s="11"/>
      <c r="S618" s="11"/>
      <c r="T618" s="11"/>
      <c r="U618" s="32" t="str">
        <f aca="false">IF((LEN(A618)+LEN(B618)+LEN(C618)+LEN(D618)+LEN(E618)+LEN(F618)+LEN(G618)+LEN(H618)+LEN(I618)+LEN(J618)+LEN(K618)+LEN(M618)+LEN(N618)+LEN(O618)+LEN(P618)+LEN(Q618)+LEN(R618)+LEN(S618)+LEN(T618))=0,"",IF(OR(A618="",B618="",C618="",D618="",E618="",J618="",K618="",N618=""),"⚠ Champ obligatoire manquant",IF(AND(ISNUMBER(K618),ISNUMBER(J618),N(K618)&gt;N(J618)),"⚠ Prix Autopiec &gt; prix public",IF(COUNTIFS($A$2:$A$1001,A618,$B$2:$B$1001,B618)&gt;1,"⚠ Référence en double","✔ OK"))))</f>
        <v/>
      </c>
    </row>
    <row r="619" customFormat="false" ht="15" hidden="false" customHeight="false" outlineLevel="0" collapsed="false">
      <c r="A619" s="11"/>
      <c r="B619" s="27"/>
      <c r="C619" s="11"/>
      <c r="D619" s="11"/>
      <c r="E619" s="11"/>
      <c r="F619" s="27"/>
      <c r="G619" s="27"/>
      <c r="H619" s="11"/>
      <c r="I619" s="11"/>
      <c r="J619" s="12"/>
      <c r="K619" s="12"/>
      <c r="L619" s="28" t="str">
        <f aca="false">IF(AND(ISNUMBER(J619),ISNUMBER(K619),N(J619)&gt;0),1-K619/J619,"")</f>
        <v/>
      </c>
      <c r="M619" s="29"/>
      <c r="N619" s="30"/>
      <c r="O619" s="30"/>
      <c r="P619" s="11"/>
      <c r="Q619" s="31"/>
      <c r="R619" s="11"/>
      <c r="S619" s="11"/>
      <c r="T619" s="11"/>
      <c r="U619" s="32" t="str">
        <f aca="false">IF((LEN(A619)+LEN(B619)+LEN(C619)+LEN(D619)+LEN(E619)+LEN(F619)+LEN(G619)+LEN(H619)+LEN(I619)+LEN(J619)+LEN(K619)+LEN(M619)+LEN(N619)+LEN(O619)+LEN(P619)+LEN(Q619)+LEN(R619)+LEN(S619)+LEN(T619))=0,"",IF(OR(A619="",B619="",C619="",D619="",E619="",J619="",K619="",N619=""),"⚠ Champ obligatoire manquant",IF(AND(ISNUMBER(K619),ISNUMBER(J619),N(K619)&gt;N(J619)),"⚠ Prix Autopiec &gt; prix public",IF(COUNTIFS($A$2:$A$1001,A619,$B$2:$B$1001,B619)&gt;1,"⚠ Référence en double","✔ OK"))))</f>
        <v/>
      </c>
    </row>
    <row r="620" customFormat="false" ht="15" hidden="false" customHeight="false" outlineLevel="0" collapsed="false">
      <c r="A620" s="11"/>
      <c r="B620" s="27"/>
      <c r="C620" s="11"/>
      <c r="D620" s="11"/>
      <c r="E620" s="11"/>
      <c r="F620" s="27"/>
      <c r="G620" s="27"/>
      <c r="H620" s="11"/>
      <c r="I620" s="11"/>
      <c r="J620" s="12"/>
      <c r="K620" s="12"/>
      <c r="L620" s="28" t="str">
        <f aca="false">IF(AND(ISNUMBER(J620),ISNUMBER(K620),N(J620)&gt;0),1-K620/J620,"")</f>
        <v/>
      </c>
      <c r="M620" s="29"/>
      <c r="N620" s="30"/>
      <c r="O620" s="30"/>
      <c r="P620" s="11"/>
      <c r="Q620" s="31"/>
      <c r="R620" s="11"/>
      <c r="S620" s="11"/>
      <c r="T620" s="11"/>
      <c r="U620" s="32" t="str">
        <f aca="false">IF((LEN(A620)+LEN(B620)+LEN(C620)+LEN(D620)+LEN(E620)+LEN(F620)+LEN(G620)+LEN(H620)+LEN(I620)+LEN(J620)+LEN(K620)+LEN(M620)+LEN(N620)+LEN(O620)+LEN(P620)+LEN(Q620)+LEN(R620)+LEN(S620)+LEN(T620))=0,"",IF(OR(A620="",B620="",C620="",D620="",E620="",J620="",K620="",N620=""),"⚠ Champ obligatoire manquant",IF(AND(ISNUMBER(K620),ISNUMBER(J620),N(K620)&gt;N(J620)),"⚠ Prix Autopiec &gt; prix public",IF(COUNTIFS($A$2:$A$1001,A620,$B$2:$B$1001,B620)&gt;1,"⚠ Référence en double","✔ OK"))))</f>
        <v/>
      </c>
    </row>
    <row r="621" customFormat="false" ht="15" hidden="false" customHeight="false" outlineLevel="0" collapsed="false">
      <c r="A621" s="11"/>
      <c r="B621" s="27"/>
      <c r="C621" s="11"/>
      <c r="D621" s="11"/>
      <c r="E621" s="11"/>
      <c r="F621" s="27"/>
      <c r="G621" s="27"/>
      <c r="H621" s="11"/>
      <c r="I621" s="11"/>
      <c r="J621" s="12"/>
      <c r="K621" s="12"/>
      <c r="L621" s="28" t="str">
        <f aca="false">IF(AND(ISNUMBER(J621),ISNUMBER(K621),N(J621)&gt;0),1-K621/J621,"")</f>
        <v/>
      </c>
      <c r="M621" s="29"/>
      <c r="N621" s="30"/>
      <c r="O621" s="30"/>
      <c r="P621" s="11"/>
      <c r="Q621" s="31"/>
      <c r="R621" s="11"/>
      <c r="S621" s="11"/>
      <c r="T621" s="11"/>
      <c r="U621" s="32" t="str">
        <f aca="false">IF((LEN(A621)+LEN(B621)+LEN(C621)+LEN(D621)+LEN(E621)+LEN(F621)+LEN(G621)+LEN(H621)+LEN(I621)+LEN(J621)+LEN(K621)+LEN(M621)+LEN(N621)+LEN(O621)+LEN(P621)+LEN(Q621)+LEN(R621)+LEN(S621)+LEN(T621))=0,"",IF(OR(A621="",B621="",C621="",D621="",E621="",J621="",K621="",N621=""),"⚠ Champ obligatoire manquant",IF(AND(ISNUMBER(K621),ISNUMBER(J621),N(K621)&gt;N(J621)),"⚠ Prix Autopiec &gt; prix public",IF(COUNTIFS($A$2:$A$1001,A621,$B$2:$B$1001,B621)&gt;1,"⚠ Référence en double","✔ OK"))))</f>
        <v/>
      </c>
    </row>
    <row r="622" customFormat="false" ht="15" hidden="false" customHeight="false" outlineLevel="0" collapsed="false">
      <c r="A622" s="11"/>
      <c r="B622" s="27"/>
      <c r="C622" s="11"/>
      <c r="D622" s="11"/>
      <c r="E622" s="11"/>
      <c r="F622" s="27"/>
      <c r="G622" s="27"/>
      <c r="H622" s="11"/>
      <c r="I622" s="11"/>
      <c r="J622" s="12"/>
      <c r="K622" s="12"/>
      <c r="L622" s="28" t="str">
        <f aca="false">IF(AND(ISNUMBER(J622),ISNUMBER(K622),N(J622)&gt;0),1-K622/J622,"")</f>
        <v/>
      </c>
      <c r="M622" s="29"/>
      <c r="N622" s="30"/>
      <c r="O622" s="30"/>
      <c r="P622" s="11"/>
      <c r="Q622" s="31"/>
      <c r="R622" s="11"/>
      <c r="S622" s="11"/>
      <c r="T622" s="11"/>
      <c r="U622" s="32" t="str">
        <f aca="false">IF((LEN(A622)+LEN(B622)+LEN(C622)+LEN(D622)+LEN(E622)+LEN(F622)+LEN(G622)+LEN(H622)+LEN(I622)+LEN(J622)+LEN(K622)+LEN(M622)+LEN(N622)+LEN(O622)+LEN(P622)+LEN(Q622)+LEN(R622)+LEN(S622)+LEN(T622))=0,"",IF(OR(A622="",B622="",C622="",D622="",E622="",J622="",K622="",N622=""),"⚠ Champ obligatoire manquant",IF(AND(ISNUMBER(K622),ISNUMBER(J622),N(K622)&gt;N(J622)),"⚠ Prix Autopiec &gt; prix public",IF(COUNTIFS($A$2:$A$1001,A622,$B$2:$B$1001,B622)&gt;1,"⚠ Référence en double","✔ OK"))))</f>
        <v/>
      </c>
    </row>
    <row r="623" customFormat="false" ht="15" hidden="false" customHeight="false" outlineLevel="0" collapsed="false">
      <c r="A623" s="11"/>
      <c r="B623" s="27"/>
      <c r="C623" s="11"/>
      <c r="D623" s="11"/>
      <c r="E623" s="11"/>
      <c r="F623" s="27"/>
      <c r="G623" s="27"/>
      <c r="H623" s="11"/>
      <c r="I623" s="11"/>
      <c r="J623" s="12"/>
      <c r="K623" s="12"/>
      <c r="L623" s="28" t="str">
        <f aca="false">IF(AND(ISNUMBER(J623),ISNUMBER(K623),N(J623)&gt;0),1-K623/J623,"")</f>
        <v/>
      </c>
      <c r="M623" s="29"/>
      <c r="N623" s="30"/>
      <c r="O623" s="30"/>
      <c r="P623" s="11"/>
      <c r="Q623" s="31"/>
      <c r="R623" s="11"/>
      <c r="S623" s="11"/>
      <c r="T623" s="11"/>
      <c r="U623" s="32" t="str">
        <f aca="false">IF((LEN(A623)+LEN(B623)+LEN(C623)+LEN(D623)+LEN(E623)+LEN(F623)+LEN(G623)+LEN(H623)+LEN(I623)+LEN(J623)+LEN(K623)+LEN(M623)+LEN(N623)+LEN(O623)+LEN(P623)+LEN(Q623)+LEN(R623)+LEN(S623)+LEN(T623))=0,"",IF(OR(A623="",B623="",C623="",D623="",E623="",J623="",K623="",N623=""),"⚠ Champ obligatoire manquant",IF(AND(ISNUMBER(K623),ISNUMBER(J623),N(K623)&gt;N(J623)),"⚠ Prix Autopiec &gt; prix public",IF(COUNTIFS($A$2:$A$1001,A623,$B$2:$B$1001,B623)&gt;1,"⚠ Référence en double","✔ OK"))))</f>
        <v/>
      </c>
    </row>
    <row r="624" customFormat="false" ht="15" hidden="false" customHeight="false" outlineLevel="0" collapsed="false">
      <c r="A624" s="11"/>
      <c r="B624" s="27"/>
      <c r="C624" s="11"/>
      <c r="D624" s="11"/>
      <c r="E624" s="11"/>
      <c r="F624" s="27"/>
      <c r="G624" s="27"/>
      <c r="H624" s="11"/>
      <c r="I624" s="11"/>
      <c r="J624" s="12"/>
      <c r="K624" s="12"/>
      <c r="L624" s="28" t="str">
        <f aca="false">IF(AND(ISNUMBER(J624),ISNUMBER(K624),N(J624)&gt;0),1-K624/J624,"")</f>
        <v/>
      </c>
      <c r="M624" s="29"/>
      <c r="N624" s="30"/>
      <c r="O624" s="30"/>
      <c r="P624" s="11"/>
      <c r="Q624" s="31"/>
      <c r="R624" s="11"/>
      <c r="S624" s="11"/>
      <c r="T624" s="11"/>
      <c r="U624" s="32" t="str">
        <f aca="false">IF((LEN(A624)+LEN(B624)+LEN(C624)+LEN(D624)+LEN(E624)+LEN(F624)+LEN(G624)+LEN(H624)+LEN(I624)+LEN(J624)+LEN(K624)+LEN(M624)+LEN(N624)+LEN(O624)+LEN(P624)+LEN(Q624)+LEN(R624)+LEN(S624)+LEN(T624))=0,"",IF(OR(A624="",B624="",C624="",D624="",E624="",J624="",K624="",N624=""),"⚠ Champ obligatoire manquant",IF(AND(ISNUMBER(K624),ISNUMBER(J624),N(K624)&gt;N(J624)),"⚠ Prix Autopiec &gt; prix public",IF(COUNTIFS($A$2:$A$1001,A624,$B$2:$B$1001,B624)&gt;1,"⚠ Référence en double","✔ OK"))))</f>
        <v/>
      </c>
    </row>
    <row r="625" customFormat="false" ht="15" hidden="false" customHeight="false" outlineLevel="0" collapsed="false">
      <c r="A625" s="11"/>
      <c r="B625" s="27"/>
      <c r="C625" s="11"/>
      <c r="D625" s="11"/>
      <c r="E625" s="11"/>
      <c r="F625" s="27"/>
      <c r="G625" s="27"/>
      <c r="H625" s="11"/>
      <c r="I625" s="11"/>
      <c r="J625" s="12"/>
      <c r="K625" s="12"/>
      <c r="L625" s="28" t="str">
        <f aca="false">IF(AND(ISNUMBER(J625),ISNUMBER(K625),N(J625)&gt;0),1-K625/J625,"")</f>
        <v/>
      </c>
      <c r="M625" s="29"/>
      <c r="N625" s="30"/>
      <c r="O625" s="30"/>
      <c r="P625" s="11"/>
      <c r="Q625" s="31"/>
      <c r="R625" s="11"/>
      <c r="S625" s="11"/>
      <c r="T625" s="11"/>
      <c r="U625" s="32" t="str">
        <f aca="false">IF((LEN(A625)+LEN(B625)+LEN(C625)+LEN(D625)+LEN(E625)+LEN(F625)+LEN(G625)+LEN(H625)+LEN(I625)+LEN(J625)+LEN(K625)+LEN(M625)+LEN(N625)+LEN(O625)+LEN(P625)+LEN(Q625)+LEN(R625)+LEN(S625)+LEN(T625))=0,"",IF(OR(A625="",B625="",C625="",D625="",E625="",J625="",K625="",N625=""),"⚠ Champ obligatoire manquant",IF(AND(ISNUMBER(K625),ISNUMBER(J625),N(K625)&gt;N(J625)),"⚠ Prix Autopiec &gt; prix public",IF(COUNTIFS($A$2:$A$1001,A625,$B$2:$B$1001,B625)&gt;1,"⚠ Référence en double","✔ OK"))))</f>
        <v/>
      </c>
    </row>
    <row r="626" customFormat="false" ht="15" hidden="false" customHeight="false" outlineLevel="0" collapsed="false">
      <c r="A626" s="11"/>
      <c r="B626" s="27"/>
      <c r="C626" s="11"/>
      <c r="D626" s="11"/>
      <c r="E626" s="11"/>
      <c r="F626" s="27"/>
      <c r="G626" s="27"/>
      <c r="H626" s="11"/>
      <c r="I626" s="11"/>
      <c r="J626" s="12"/>
      <c r="K626" s="12"/>
      <c r="L626" s="28" t="str">
        <f aca="false">IF(AND(ISNUMBER(J626),ISNUMBER(K626),N(J626)&gt;0),1-K626/J626,"")</f>
        <v/>
      </c>
      <c r="M626" s="29"/>
      <c r="N626" s="30"/>
      <c r="O626" s="30"/>
      <c r="P626" s="11"/>
      <c r="Q626" s="31"/>
      <c r="R626" s="11"/>
      <c r="S626" s="11"/>
      <c r="T626" s="11"/>
      <c r="U626" s="32" t="str">
        <f aca="false">IF((LEN(A626)+LEN(B626)+LEN(C626)+LEN(D626)+LEN(E626)+LEN(F626)+LEN(G626)+LEN(H626)+LEN(I626)+LEN(J626)+LEN(K626)+LEN(M626)+LEN(N626)+LEN(O626)+LEN(P626)+LEN(Q626)+LEN(R626)+LEN(S626)+LEN(T626))=0,"",IF(OR(A626="",B626="",C626="",D626="",E626="",J626="",K626="",N626=""),"⚠ Champ obligatoire manquant",IF(AND(ISNUMBER(K626),ISNUMBER(J626),N(K626)&gt;N(J626)),"⚠ Prix Autopiec &gt; prix public",IF(COUNTIFS($A$2:$A$1001,A626,$B$2:$B$1001,B626)&gt;1,"⚠ Référence en double","✔ OK"))))</f>
        <v/>
      </c>
    </row>
    <row r="627" customFormat="false" ht="15" hidden="false" customHeight="false" outlineLevel="0" collapsed="false">
      <c r="A627" s="11"/>
      <c r="B627" s="27"/>
      <c r="C627" s="11"/>
      <c r="D627" s="11"/>
      <c r="E627" s="11"/>
      <c r="F627" s="27"/>
      <c r="G627" s="27"/>
      <c r="H627" s="11"/>
      <c r="I627" s="11"/>
      <c r="J627" s="12"/>
      <c r="K627" s="12"/>
      <c r="L627" s="28" t="str">
        <f aca="false">IF(AND(ISNUMBER(J627),ISNUMBER(K627),N(J627)&gt;0),1-K627/J627,"")</f>
        <v/>
      </c>
      <c r="M627" s="29"/>
      <c r="N627" s="30"/>
      <c r="O627" s="30"/>
      <c r="P627" s="11"/>
      <c r="Q627" s="31"/>
      <c r="R627" s="11"/>
      <c r="S627" s="11"/>
      <c r="T627" s="11"/>
      <c r="U627" s="32" t="str">
        <f aca="false">IF((LEN(A627)+LEN(B627)+LEN(C627)+LEN(D627)+LEN(E627)+LEN(F627)+LEN(G627)+LEN(H627)+LEN(I627)+LEN(J627)+LEN(K627)+LEN(M627)+LEN(N627)+LEN(O627)+LEN(P627)+LEN(Q627)+LEN(R627)+LEN(S627)+LEN(T627))=0,"",IF(OR(A627="",B627="",C627="",D627="",E627="",J627="",K627="",N627=""),"⚠ Champ obligatoire manquant",IF(AND(ISNUMBER(K627),ISNUMBER(J627),N(K627)&gt;N(J627)),"⚠ Prix Autopiec &gt; prix public",IF(COUNTIFS($A$2:$A$1001,A627,$B$2:$B$1001,B627)&gt;1,"⚠ Référence en double","✔ OK"))))</f>
        <v/>
      </c>
    </row>
    <row r="628" customFormat="false" ht="15" hidden="false" customHeight="false" outlineLevel="0" collapsed="false">
      <c r="A628" s="11"/>
      <c r="B628" s="27"/>
      <c r="C628" s="11"/>
      <c r="D628" s="11"/>
      <c r="E628" s="11"/>
      <c r="F628" s="27"/>
      <c r="G628" s="27"/>
      <c r="H628" s="11"/>
      <c r="I628" s="11"/>
      <c r="J628" s="12"/>
      <c r="K628" s="12"/>
      <c r="L628" s="28" t="str">
        <f aca="false">IF(AND(ISNUMBER(J628),ISNUMBER(K628),N(J628)&gt;0),1-K628/J628,"")</f>
        <v/>
      </c>
      <c r="M628" s="29"/>
      <c r="N628" s="30"/>
      <c r="O628" s="30"/>
      <c r="P628" s="11"/>
      <c r="Q628" s="31"/>
      <c r="R628" s="11"/>
      <c r="S628" s="11"/>
      <c r="T628" s="11"/>
      <c r="U628" s="32" t="str">
        <f aca="false">IF((LEN(A628)+LEN(B628)+LEN(C628)+LEN(D628)+LEN(E628)+LEN(F628)+LEN(G628)+LEN(H628)+LEN(I628)+LEN(J628)+LEN(K628)+LEN(M628)+LEN(N628)+LEN(O628)+LEN(P628)+LEN(Q628)+LEN(R628)+LEN(S628)+LEN(T628))=0,"",IF(OR(A628="",B628="",C628="",D628="",E628="",J628="",K628="",N628=""),"⚠ Champ obligatoire manquant",IF(AND(ISNUMBER(K628),ISNUMBER(J628),N(K628)&gt;N(J628)),"⚠ Prix Autopiec &gt; prix public",IF(COUNTIFS($A$2:$A$1001,A628,$B$2:$B$1001,B628)&gt;1,"⚠ Référence en double","✔ OK"))))</f>
        <v/>
      </c>
    </row>
    <row r="629" customFormat="false" ht="15" hidden="false" customHeight="false" outlineLevel="0" collapsed="false">
      <c r="A629" s="11"/>
      <c r="B629" s="27"/>
      <c r="C629" s="11"/>
      <c r="D629" s="11"/>
      <c r="E629" s="11"/>
      <c r="F629" s="27"/>
      <c r="G629" s="27"/>
      <c r="H629" s="11"/>
      <c r="I629" s="11"/>
      <c r="J629" s="12"/>
      <c r="K629" s="12"/>
      <c r="L629" s="28" t="str">
        <f aca="false">IF(AND(ISNUMBER(J629),ISNUMBER(K629),N(J629)&gt;0),1-K629/J629,"")</f>
        <v/>
      </c>
      <c r="M629" s="29"/>
      <c r="N629" s="30"/>
      <c r="O629" s="30"/>
      <c r="P629" s="11"/>
      <c r="Q629" s="31"/>
      <c r="R629" s="11"/>
      <c r="S629" s="11"/>
      <c r="T629" s="11"/>
      <c r="U629" s="32" t="str">
        <f aca="false">IF((LEN(A629)+LEN(B629)+LEN(C629)+LEN(D629)+LEN(E629)+LEN(F629)+LEN(G629)+LEN(H629)+LEN(I629)+LEN(J629)+LEN(K629)+LEN(M629)+LEN(N629)+LEN(O629)+LEN(P629)+LEN(Q629)+LEN(R629)+LEN(S629)+LEN(T629))=0,"",IF(OR(A629="",B629="",C629="",D629="",E629="",J629="",K629="",N629=""),"⚠ Champ obligatoire manquant",IF(AND(ISNUMBER(K629),ISNUMBER(J629),N(K629)&gt;N(J629)),"⚠ Prix Autopiec &gt; prix public",IF(COUNTIFS($A$2:$A$1001,A629,$B$2:$B$1001,B629)&gt;1,"⚠ Référence en double","✔ OK"))))</f>
        <v/>
      </c>
    </row>
    <row r="630" customFormat="false" ht="15" hidden="false" customHeight="false" outlineLevel="0" collapsed="false">
      <c r="A630" s="11"/>
      <c r="B630" s="27"/>
      <c r="C630" s="11"/>
      <c r="D630" s="11"/>
      <c r="E630" s="11"/>
      <c r="F630" s="27"/>
      <c r="G630" s="27"/>
      <c r="H630" s="11"/>
      <c r="I630" s="11"/>
      <c r="J630" s="12"/>
      <c r="K630" s="12"/>
      <c r="L630" s="28" t="str">
        <f aca="false">IF(AND(ISNUMBER(J630),ISNUMBER(K630),N(J630)&gt;0),1-K630/J630,"")</f>
        <v/>
      </c>
      <c r="M630" s="29"/>
      <c r="N630" s="30"/>
      <c r="O630" s="30"/>
      <c r="P630" s="11"/>
      <c r="Q630" s="31"/>
      <c r="R630" s="11"/>
      <c r="S630" s="11"/>
      <c r="T630" s="11"/>
      <c r="U630" s="32" t="str">
        <f aca="false">IF((LEN(A630)+LEN(B630)+LEN(C630)+LEN(D630)+LEN(E630)+LEN(F630)+LEN(G630)+LEN(H630)+LEN(I630)+LEN(J630)+LEN(K630)+LEN(M630)+LEN(N630)+LEN(O630)+LEN(P630)+LEN(Q630)+LEN(R630)+LEN(S630)+LEN(T630))=0,"",IF(OR(A630="",B630="",C630="",D630="",E630="",J630="",K630="",N630=""),"⚠ Champ obligatoire manquant",IF(AND(ISNUMBER(K630),ISNUMBER(J630),N(K630)&gt;N(J630)),"⚠ Prix Autopiec &gt; prix public",IF(COUNTIFS($A$2:$A$1001,A630,$B$2:$B$1001,B630)&gt;1,"⚠ Référence en double","✔ OK"))))</f>
        <v/>
      </c>
    </row>
    <row r="631" customFormat="false" ht="15" hidden="false" customHeight="false" outlineLevel="0" collapsed="false">
      <c r="A631" s="11"/>
      <c r="B631" s="27"/>
      <c r="C631" s="11"/>
      <c r="D631" s="11"/>
      <c r="E631" s="11"/>
      <c r="F631" s="27"/>
      <c r="G631" s="27"/>
      <c r="H631" s="11"/>
      <c r="I631" s="11"/>
      <c r="J631" s="12"/>
      <c r="K631" s="12"/>
      <c r="L631" s="28" t="str">
        <f aca="false">IF(AND(ISNUMBER(J631),ISNUMBER(K631),N(J631)&gt;0),1-K631/J631,"")</f>
        <v/>
      </c>
      <c r="M631" s="29"/>
      <c r="N631" s="30"/>
      <c r="O631" s="30"/>
      <c r="P631" s="11"/>
      <c r="Q631" s="31"/>
      <c r="R631" s="11"/>
      <c r="S631" s="11"/>
      <c r="T631" s="11"/>
      <c r="U631" s="32" t="str">
        <f aca="false">IF((LEN(A631)+LEN(B631)+LEN(C631)+LEN(D631)+LEN(E631)+LEN(F631)+LEN(G631)+LEN(H631)+LEN(I631)+LEN(J631)+LEN(K631)+LEN(M631)+LEN(N631)+LEN(O631)+LEN(P631)+LEN(Q631)+LEN(R631)+LEN(S631)+LEN(T631))=0,"",IF(OR(A631="",B631="",C631="",D631="",E631="",J631="",K631="",N631=""),"⚠ Champ obligatoire manquant",IF(AND(ISNUMBER(K631),ISNUMBER(J631),N(K631)&gt;N(J631)),"⚠ Prix Autopiec &gt; prix public",IF(COUNTIFS($A$2:$A$1001,A631,$B$2:$B$1001,B631)&gt;1,"⚠ Référence en double","✔ OK"))))</f>
        <v/>
      </c>
    </row>
    <row r="632" customFormat="false" ht="15" hidden="false" customHeight="false" outlineLevel="0" collapsed="false">
      <c r="A632" s="11"/>
      <c r="B632" s="27"/>
      <c r="C632" s="11"/>
      <c r="D632" s="11"/>
      <c r="E632" s="11"/>
      <c r="F632" s="27"/>
      <c r="G632" s="27"/>
      <c r="H632" s="11"/>
      <c r="I632" s="11"/>
      <c r="J632" s="12"/>
      <c r="K632" s="12"/>
      <c r="L632" s="28" t="str">
        <f aca="false">IF(AND(ISNUMBER(J632),ISNUMBER(K632),N(J632)&gt;0),1-K632/J632,"")</f>
        <v/>
      </c>
      <c r="M632" s="29"/>
      <c r="N632" s="30"/>
      <c r="O632" s="30"/>
      <c r="P632" s="11"/>
      <c r="Q632" s="31"/>
      <c r="R632" s="11"/>
      <c r="S632" s="11"/>
      <c r="T632" s="11"/>
      <c r="U632" s="32" t="str">
        <f aca="false">IF((LEN(A632)+LEN(B632)+LEN(C632)+LEN(D632)+LEN(E632)+LEN(F632)+LEN(G632)+LEN(H632)+LEN(I632)+LEN(J632)+LEN(K632)+LEN(M632)+LEN(N632)+LEN(O632)+LEN(P632)+LEN(Q632)+LEN(R632)+LEN(S632)+LEN(T632))=0,"",IF(OR(A632="",B632="",C632="",D632="",E632="",J632="",K632="",N632=""),"⚠ Champ obligatoire manquant",IF(AND(ISNUMBER(K632),ISNUMBER(J632),N(K632)&gt;N(J632)),"⚠ Prix Autopiec &gt; prix public",IF(COUNTIFS($A$2:$A$1001,A632,$B$2:$B$1001,B632)&gt;1,"⚠ Référence en double","✔ OK"))))</f>
        <v/>
      </c>
    </row>
    <row r="633" customFormat="false" ht="15" hidden="false" customHeight="false" outlineLevel="0" collapsed="false">
      <c r="A633" s="11"/>
      <c r="B633" s="27"/>
      <c r="C633" s="11"/>
      <c r="D633" s="11"/>
      <c r="E633" s="11"/>
      <c r="F633" s="27"/>
      <c r="G633" s="27"/>
      <c r="H633" s="11"/>
      <c r="I633" s="11"/>
      <c r="J633" s="12"/>
      <c r="K633" s="12"/>
      <c r="L633" s="28" t="str">
        <f aca="false">IF(AND(ISNUMBER(J633),ISNUMBER(K633),N(J633)&gt;0),1-K633/J633,"")</f>
        <v/>
      </c>
      <c r="M633" s="29"/>
      <c r="N633" s="30"/>
      <c r="O633" s="30"/>
      <c r="P633" s="11"/>
      <c r="Q633" s="31"/>
      <c r="R633" s="11"/>
      <c r="S633" s="11"/>
      <c r="T633" s="11"/>
      <c r="U633" s="32" t="str">
        <f aca="false">IF((LEN(A633)+LEN(B633)+LEN(C633)+LEN(D633)+LEN(E633)+LEN(F633)+LEN(G633)+LEN(H633)+LEN(I633)+LEN(J633)+LEN(K633)+LEN(M633)+LEN(N633)+LEN(O633)+LEN(P633)+LEN(Q633)+LEN(R633)+LEN(S633)+LEN(T633))=0,"",IF(OR(A633="",B633="",C633="",D633="",E633="",J633="",K633="",N633=""),"⚠ Champ obligatoire manquant",IF(AND(ISNUMBER(K633),ISNUMBER(J633),N(K633)&gt;N(J633)),"⚠ Prix Autopiec &gt; prix public",IF(COUNTIFS($A$2:$A$1001,A633,$B$2:$B$1001,B633)&gt;1,"⚠ Référence en double","✔ OK"))))</f>
        <v/>
      </c>
    </row>
    <row r="634" customFormat="false" ht="15" hidden="false" customHeight="false" outlineLevel="0" collapsed="false">
      <c r="A634" s="11"/>
      <c r="B634" s="27"/>
      <c r="C634" s="11"/>
      <c r="D634" s="11"/>
      <c r="E634" s="11"/>
      <c r="F634" s="27"/>
      <c r="G634" s="27"/>
      <c r="H634" s="11"/>
      <c r="I634" s="11"/>
      <c r="J634" s="12"/>
      <c r="K634" s="12"/>
      <c r="L634" s="28" t="str">
        <f aca="false">IF(AND(ISNUMBER(J634),ISNUMBER(K634),N(J634)&gt;0),1-K634/J634,"")</f>
        <v/>
      </c>
      <c r="M634" s="29"/>
      <c r="N634" s="30"/>
      <c r="O634" s="30"/>
      <c r="P634" s="11"/>
      <c r="Q634" s="31"/>
      <c r="R634" s="11"/>
      <c r="S634" s="11"/>
      <c r="T634" s="11"/>
      <c r="U634" s="32" t="str">
        <f aca="false">IF((LEN(A634)+LEN(B634)+LEN(C634)+LEN(D634)+LEN(E634)+LEN(F634)+LEN(G634)+LEN(H634)+LEN(I634)+LEN(J634)+LEN(K634)+LEN(M634)+LEN(N634)+LEN(O634)+LEN(P634)+LEN(Q634)+LEN(R634)+LEN(S634)+LEN(T634))=0,"",IF(OR(A634="",B634="",C634="",D634="",E634="",J634="",K634="",N634=""),"⚠ Champ obligatoire manquant",IF(AND(ISNUMBER(K634),ISNUMBER(J634),N(K634)&gt;N(J634)),"⚠ Prix Autopiec &gt; prix public",IF(COUNTIFS($A$2:$A$1001,A634,$B$2:$B$1001,B634)&gt;1,"⚠ Référence en double","✔ OK"))))</f>
        <v/>
      </c>
    </row>
    <row r="635" customFormat="false" ht="15" hidden="false" customHeight="false" outlineLevel="0" collapsed="false">
      <c r="A635" s="11"/>
      <c r="B635" s="27"/>
      <c r="C635" s="11"/>
      <c r="D635" s="11"/>
      <c r="E635" s="11"/>
      <c r="F635" s="27"/>
      <c r="G635" s="27"/>
      <c r="H635" s="11"/>
      <c r="I635" s="11"/>
      <c r="J635" s="12"/>
      <c r="K635" s="12"/>
      <c r="L635" s="28" t="str">
        <f aca="false">IF(AND(ISNUMBER(J635),ISNUMBER(K635),N(J635)&gt;0),1-K635/J635,"")</f>
        <v/>
      </c>
      <c r="M635" s="29"/>
      <c r="N635" s="30"/>
      <c r="O635" s="30"/>
      <c r="P635" s="11"/>
      <c r="Q635" s="31"/>
      <c r="R635" s="11"/>
      <c r="S635" s="11"/>
      <c r="T635" s="11"/>
      <c r="U635" s="32" t="str">
        <f aca="false">IF((LEN(A635)+LEN(B635)+LEN(C635)+LEN(D635)+LEN(E635)+LEN(F635)+LEN(G635)+LEN(H635)+LEN(I635)+LEN(J635)+LEN(K635)+LEN(M635)+LEN(N635)+LEN(O635)+LEN(P635)+LEN(Q635)+LEN(R635)+LEN(S635)+LEN(T635))=0,"",IF(OR(A635="",B635="",C635="",D635="",E635="",J635="",K635="",N635=""),"⚠ Champ obligatoire manquant",IF(AND(ISNUMBER(K635),ISNUMBER(J635),N(K635)&gt;N(J635)),"⚠ Prix Autopiec &gt; prix public",IF(COUNTIFS($A$2:$A$1001,A635,$B$2:$B$1001,B635)&gt;1,"⚠ Référence en double","✔ OK"))))</f>
        <v/>
      </c>
    </row>
    <row r="636" customFormat="false" ht="15" hidden="false" customHeight="false" outlineLevel="0" collapsed="false">
      <c r="A636" s="11"/>
      <c r="B636" s="27"/>
      <c r="C636" s="11"/>
      <c r="D636" s="11"/>
      <c r="E636" s="11"/>
      <c r="F636" s="27"/>
      <c r="G636" s="27"/>
      <c r="H636" s="11"/>
      <c r="I636" s="11"/>
      <c r="J636" s="12"/>
      <c r="K636" s="12"/>
      <c r="L636" s="28" t="str">
        <f aca="false">IF(AND(ISNUMBER(J636),ISNUMBER(K636),N(J636)&gt;0),1-K636/J636,"")</f>
        <v/>
      </c>
      <c r="M636" s="29"/>
      <c r="N636" s="30"/>
      <c r="O636" s="30"/>
      <c r="P636" s="11"/>
      <c r="Q636" s="31"/>
      <c r="R636" s="11"/>
      <c r="S636" s="11"/>
      <c r="T636" s="11"/>
      <c r="U636" s="32" t="str">
        <f aca="false">IF((LEN(A636)+LEN(B636)+LEN(C636)+LEN(D636)+LEN(E636)+LEN(F636)+LEN(G636)+LEN(H636)+LEN(I636)+LEN(J636)+LEN(K636)+LEN(M636)+LEN(N636)+LEN(O636)+LEN(P636)+LEN(Q636)+LEN(R636)+LEN(S636)+LEN(T636))=0,"",IF(OR(A636="",B636="",C636="",D636="",E636="",J636="",K636="",N636=""),"⚠ Champ obligatoire manquant",IF(AND(ISNUMBER(K636),ISNUMBER(J636),N(K636)&gt;N(J636)),"⚠ Prix Autopiec &gt; prix public",IF(COUNTIFS($A$2:$A$1001,A636,$B$2:$B$1001,B636)&gt;1,"⚠ Référence en double","✔ OK"))))</f>
        <v/>
      </c>
    </row>
    <row r="637" customFormat="false" ht="15" hidden="false" customHeight="false" outlineLevel="0" collapsed="false">
      <c r="A637" s="11"/>
      <c r="B637" s="27"/>
      <c r="C637" s="11"/>
      <c r="D637" s="11"/>
      <c r="E637" s="11"/>
      <c r="F637" s="27"/>
      <c r="G637" s="27"/>
      <c r="H637" s="11"/>
      <c r="I637" s="11"/>
      <c r="J637" s="12"/>
      <c r="K637" s="12"/>
      <c r="L637" s="28" t="str">
        <f aca="false">IF(AND(ISNUMBER(J637),ISNUMBER(K637),N(J637)&gt;0),1-K637/J637,"")</f>
        <v/>
      </c>
      <c r="M637" s="29"/>
      <c r="N637" s="30"/>
      <c r="O637" s="30"/>
      <c r="P637" s="11"/>
      <c r="Q637" s="31"/>
      <c r="R637" s="11"/>
      <c r="S637" s="11"/>
      <c r="T637" s="11"/>
      <c r="U637" s="32" t="str">
        <f aca="false">IF((LEN(A637)+LEN(B637)+LEN(C637)+LEN(D637)+LEN(E637)+LEN(F637)+LEN(G637)+LEN(H637)+LEN(I637)+LEN(J637)+LEN(K637)+LEN(M637)+LEN(N637)+LEN(O637)+LEN(P637)+LEN(Q637)+LEN(R637)+LEN(S637)+LEN(T637))=0,"",IF(OR(A637="",B637="",C637="",D637="",E637="",J637="",K637="",N637=""),"⚠ Champ obligatoire manquant",IF(AND(ISNUMBER(K637),ISNUMBER(J637),N(K637)&gt;N(J637)),"⚠ Prix Autopiec &gt; prix public",IF(COUNTIFS($A$2:$A$1001,A637,$B$2:$B$1001,B637)&gt;1,"⚠ Référence en double","✔ OK"))))</f>
        <v/>
      </c>
    </row>
    <row r="638" customFormat="false" ht="15" hidden="false" customHeight="false" outlineLevel="0" collapsed="false">
      <c r="A638" s="11"/>
      <c r="B638" s="27"/>
      <c r="C638" s="11"/>
      <c r="D638" s="11"/>
      <c r="E638" s="11"/>
      <c r="F638" s="27"/>
      <c r="G638" s="27"/>
      <c r="H638" s="11"/>
      <c r="I638" s="11"/>
      <c r="J638" s="12"/>
      <c r="K638" s="12"/>
      <c r="L638" s="28" t="str">
        <f aca="false">IF(AND(ISNUMBER(J638),ISNUMBER(K638),N(J638)&gt;0),1-K638/J638,"")</f>
        <v/>
      </c>
      <c r="M638" s="29"/>
      <c r="N638" s="30"/>
      <c r="O638" s="30"/>
      <c r="P638" s="11"/>
      <c r="Q638" s="31"/>
      <c r="R638" s="11"/>
      <c r="S638" s="11"/>
      <c r="T638" s="11"/>
      <c r="U638" s="32" t="str">
        <f aca="false">IF((LEN(A638)+LEN(B638)+LEN(C638)+LEN(D638)+LEN(E638)+LEN(F638)+LEN(G638)+LEN(H638)+LEN(I638)+LEN(J638)+LEN(K638)+LEN(M638)+LEN(N638)+LEN(O638)+LEN(P638)+LEN(Q638)+LEN(R638)+LEN(S638)+LEN(T638))=0,"",IF(OR(A638="",B638="",C638="",D638="",E638="",J638="",K638="",N638=""),"⚠ Champ obligatoire manquant",IF(AND(ISNUMBER(K638),ISNUMBER(J638),N(K638)&gt;N(J638)),"⚠ Prix Autopiec &gt; prix public",IF(COUNTIFS($A$2:$A$1001,A638,$B$2:$B$1001,B638)&gt;1,"⚠ Référence en double","✔ OK"))))</f>
        <v/>
      </c>
    </row>
    <row r="639" customFormat="false" ht="15" hidden="false" customHeight="false" outlineLevel="0" collapsed="false">
      <c r="A639" s="11"/>
      <c r="B639" s="27"/>
      <c r="C639" s="11"/>
      <c r="D639" s="11"/>
      <c r="E639" s="11"/>
      <c r="F639" s="27"/>
      <c r="G639" s="27"/>
      <c r="H639" s="11"/>
      <c r="I639" s="11"/>
      <c r="J639" s="12"/>
      <c r="K639" s="12"/>
      <c r="L639" s="28" t="str">
        <f aca="false">IF(AND(ISNUMBER(J639),ISNUMBER(K639),N(J639)&gt;0),1-K639/J639,"")</f>
        <v/>
      </c>
      <c r="M639" s="29"/>
      <c r="N639" s="30"/>
      <c r="O639" s="30"/>
      <c r="P639" s="11"/>
      <c r="Q639" s="31"/>
      <c r="R639" s="11"/>
      <c r="S639" s="11"/>
      <c r="T639" s="11"/>
      <c r="U639" s="32" t="str">
        <f aca="false">IF((LEN(A639)+LEN(B639)+LEN(C639)+LEN(D639)+LEN(E639)+LEN(F639)+LEN(G639)+LEN(H639)+LEN(I639)+LEN(J639)+LEN(K639)+LEN(M639)+LEN(N639)+LEN(O639)+LEN(P639)+LEN(Q639)+LEN(R639)+LEN(S639)+LEN(T639))=0,"",IF(OR(A639="",B639="",C639="",D639="",E639="",J639="",K639="",N639=""),"⚠ Champ obligatoire manquant",IF(AND(ISNUMBER(K639),ISNUMBER(J639),N(K639)&gt;N(J639)),"⚠ Prix Autopiec &gt; prix public",IF(COUNTIFS($A$2:$A$1001,A639,$B$2:$B$1001,B639)&gt;1,"⚠ Référence en double","✔ OK"))))</f>
        <v/>
      </c>
    </row>
    <row r="640" customFormat="false" ht="15" hidden="false" customHeight="false" outlineLevel="0" collapsed="false">
      <c r="A640" s="11"/>
      <c r="B640" s="27"/>
      <c r="C640" s="11"/>
      <c r="D640" s="11"/>
      <c r="E640" s="11"/>
      <c r="F640" s="27"/>
      <c r="G640" s="27"/>
      <c r="H640" s="11"/>
      <c r="I640" s="11"/>
      <c r="J640" s="12"/>
      <c r="K640" s="12"/>
      <c r="L640" s="28" t="str">
        <f aca="false">IF(AND(ISNUMBER(J640),ISNUMBER(K640),N(J640)&gt;0),1-K640/J640,"")</f>
        <v/>
      </c>
      <c r="M640" s="29"/>
      <c r="N640" s="30"/>
      <c r="O640" s="30"/>
      <c r="P640" s="11"/>
      <c r="Q640" s="31"/>
      <c r="R640" s="11"/>
      <c r="S640" s="11"/>
      <c r="T640" s="11"/>
      <c r="U640" s="32" t="str">
        <f aca="false">IF((LEN(A640)+LEN(B640)+LEN(C640)+LEN(D640)+LEN(E640)+LEN(F640)+LEN(G640)+LEN(H640)+LEN(I640)+LEN(J640)+LEN(K640)+LEN(M640)+LEN(N640)+LEN(O640)+LEN(P640)+LEN(Q640)+LEN(R640)+LEN(S640)+LEN(T640))=0,"",IF(OR(A640="",B640="",C640="",D640="",E640="",J640="",K640="",N640=""),"⚠ Champ obligatoire manquant",IF(AND(ISNUMBER(K640),ISNUMBER(J640),N(K640)&gt;N(J640)),"⚠ Prix Autopiec &gt; prix public",IF(COUNTIFS($A$2:$A$1001,A640,$B$2:$B$1001,B640)&gt;1,"⚠ Référence en double","✔ OK"))))</f>
        <v/>
      </c>
    </row>
    <row r="641" customFormat="false" ht="15" hidden="false" customHeight="false" outlineLevel="0" collapsed="false">
      <c r="A641" s="11"/>
      <c r="B641" s="27"/>
      <c r="C641" s="11"/>
      <c r="D641" s="11"/>
      <c r="E641" s="11"/>
      <c r="F641" s="27"/>
      <c r="G641" s="27"/>
      <c r="H641" s="11"/>
      <c r="I641" s="11"/>
      <c r="J641" s="12"/>
      <c r="K641" s="12"/>
      <c r="L641" s="28" t="str">
        <f aca="false">IF(AND(ISNUMBER(J641),ISNUMBER(K641),N(J641)&gt;0),1-K641/J641,"")</f>
        <v/>
      </c>
      <c r="M641" s="29"/>
      <c r="N641" s="30"/>
      <c r="O641" s="30"/>
      <c r="P641" s="11"/>
      <c r="Q641" s="31"/>
      <c r="R641" s="11"/>
      <c r="S641" s="11"/>
      <c r="T641" s="11"/>
      <c r="U641" s="32" t="str">
        <f aca="false">IF((LEN(A641)+LEN(B641)+LEN(C641)+LEN(D641)+LEN(E641)+LEN(F641)+LEN(G641)+LEN(H641)+LEN(I641)+LEN(J641)+LEN(K641)+LEN(M641)+LEN(N641)+LEN(O641)+LEN(P641)+LEN(Q641)+LEN(R641)+LEN(S641)+LEN(T641))=0,"",IF(OR(A641="",B641="",C641="",D641="",E641="",J641="",K641="",N641=""),"⚠ Champ obligatoire manquant",IF(AND(ISNUMBER(K641),ISNUMBER(J641),N(K641)&gt;N(J641)),"⚠ Prix Autopiec &gt; prix public",IF(COUNTIFS($A$2:$A$1001,A641,$B$2:$B$1001,B641)&gt;1,"⚠ Référence en double","✔ OK"))))</f>
        <v/>
      </c>
    </row>
    <row r="642" customFormat="false" ht="15" hidden="false" customHeight="false" outlineLevel="0" collapsed="false">
      <c r="A642" s="11"/>
      <c r="B642" s="27"/>
      <c r="C642" s="11"/>
      <c r="D642" s="11"/>
      <c r="E642" s="11"/>
      <c r="F642" s="27"/>
      <c r="G642" s="27"/>
      <c r="H642" s="11"/>
      <c r="I642" s="11"/>
      <c r="J642" s="12"/>
      <c r="K642" s="12"/>
      <c r="L642" s="28" t="str">
        <f aca="false">IF(AND(ISNUMBER(J642),ISNUMBER(K642),N(J642)&gt;0),1-K642/J642,"")</f>
        <v/>
      </c>
      <c r="M642" s="29"/>
      <c r="N642" s="30"/>
      <c r="O642" s="30"/>
      <c r="P642" s="11"/>
      <c r="Q642" s="31"/>
      <c r="R642" s="11"/>
      <c r="S642" s="11"/>
      <c r="T642" s="11"/>
      <c r="U642" s="32" t="str">
        <f aca="false">IF((LEN(A642)+LEN(B642)+LEN(C642)+LEN(D642)+LEN(E642)+LEN(F642)+LEN(G642)+LEN(H642)+LEN(I642)+LEN(J642)+LEN(K642)+LEN(M642)+LEN(N642)+LEN(O642)+LEN(P642)+LEN(Q642)+LEN(R642)+LEN(S642)+LEN(T642))=0,"",IF(OR(A642="",B642="",C642="",D642="",E642="",J642="",K642="",N642=""),"⚠ Champ obligatoire manquant",IF(AND(ISNUMBER(K642),ISNUMBER(J642),N(K642)&gt;N(J642)),"⚠ Prix Autopiec &gt; prix public",IF(COUNTIFS($A$2:$A$1001,A642,$B$2:$B$1001,B642)&gt;1,"⚠ Référence en double","✔ OK"))))</f>
        <v/>
      </c>
    </row>
    <row r="643" customFormat="false" ht="15" hidden="false" customHeight="false" outlineLevel="0" collapsed="false">
      <c r="A643" s="11"/>
      <c r="B643" s="27"/>
      <c r="C643" s="11"/>
      <c r="D643" s="11"/>
      <c r="E643" s="11"/>
      <c r="F643" s="27"/>
      <c r="G643" s="27"/>
      <c r="H643" s="11"/>
      <c r="I643" s="11"/>
      <c r="J643" s="12"/>
      <c r="K643" s="12"/>
      <c r="L643" s="28" t="str">
        <f aca="false">IF(AND(ISNUMBER(J643),ISNUMBER(K643),N(J643)&gt;0),1-K643/J643,"")</f>
        <v/>
      </c>
      <c r="M643" s="29"/>
      <c r="N643" s="30"/>
      <c r="O643" s="30"/>
      <c r="P643" s="11"/>
      <c r="Q643" s="31"/>
      <c r="R643" s="11"/>
      <c r="S643" s="11"/>
      <c r="T643" s="11"/>
      <c r="U643" s="32" t="str">
        <f aca="false">IF((LEN(A643)+LEN(B643)+LEN(C643)+LEN(D643)+LEN(E643)+LEN(F643)+LEN(G643)+LEN(H643)+LEN(I643)+LEN(J643)+LEN(K643)+LEN(M643)+LEN(N643)+LEN(O643)+LEN(P643)+LEN(Q643)+LEN(R643)+LEN(S643)+LEN(T643))=0,"",IF(OR(A643="",B643="",C643="",D643="",E643="",J643="",K643="",N643=""),"⚠ Champ obligatoire manquant",IF(AND(ISNUMBER(K643),ISNUMBER(J643),N(K643)&gt;N(J643)),"⚠ Prix Autopiec &gt; prix public",IF(COUNTIFS($A$2:$A$1001,A643,$B$2:$B$1001,B643)&gt;1,"⚠ Référence en double","✔ OK"))))</f>
        <v/>
      </c>
    </row>
    <row r="644" customFormat="false" ht="15" hidden="false" customHeight="false" outlineLevel="0" collapsed="false">
      <c r="A644" s="11"/>
      <c r="B644" s="27"/>
      <c r="C644" s="11"/>
      <c r="D644" s="11"/>
      <c r="E644" s="11"/>
      <c r="F644" s="27"/>
      <c r="G644" s="27"/>
      <c r="H644" s="11"/>
      <c r="I644" s="11"/>
      <c r="J644" s="12"/>
      <c r="K644" s="12"/>
      <c r="L644" s="28" t="str">
        <f aca="false">IF(AND(ISNUMBER(J644),ISNUMBER(K644),N(J644)&gt;0),1-K644/J644,"")</f>
        <v/>
      </c>
      <c r="M644" s="29"/>
      <c r="N644" s="30"/>
      <c r="O644" s="30"/>
      <c r="P644" s="11"/>
      <c r="Q644" s="31"/>
      <c r="R644" s="11"/>
      <c r="S644" s="11"/>
      <c r="T644" s="11"/>
      <c r="U644" s="32" t="str">
        <f aca="false">IF((LEN(A644)+LEN(B644)+LEN(C644)+LEN(D644)+LEN(E644)+LEN(F644)+LEN(G644)+LEN(H644)+LEN(I644)+LEN(J644)+LEN(K644)+LEN(M644)+LEN(N644)+LEN(O644)+LEN(P644)+LEN(Q644)+LEN(R644)+LEN(S644)+LEN(T644))=0,"",IF(OR(A644="",B644="",C644="",D644="",E644="",J644="",K644="",N644=""),"⚠ Champ obligatoire manquant",IF(AND(ISNUMBER(K644),ISNUMBER(J644),N(K644)&gt;N(J644)),"⚠ Prix Autopiec &gt; prix public",IF(COUNTIFS($A$2:$A$1001,A644,$B$2:$B$1001,B644)&gt;1,"⚠ Référence en double","✔ OK"))))</f>
        <v/>
      </c>
    </row>
    <row r="645" customFormat="false" ht="15" hidden="false" customHeight="false" outlineLevel="0" collapsed="false">
      <c r="A645" s="11"/>
      <c r="B645" s="27"/>
      <c r="C645" s="11"/>
      <c r="D645" s="11"/>
      <c r="E645" s="11"/>
      <c r="F645" s="27"/>
      <c r="G645" s="27"/>
      <c r="H645" s="11"/>
      <c r="I645" s="11"/>
      <c r="J645" s="12"/>
      <c r="K645" s="12"/>
      <c r="L645" s="28" t="str">
        <f aca="false">IF(AND(ISNUMBER(J645),ISNUMBER(K645),N(J645)&gt;0),1-K645/J645,"")</f>
        <v/>
      </c>
      <c r="M645" s="29"/>
      <c r="N645" s="30"/>
      <c r="O645" s="30"/>
      <c r="P645" s="11"/>
      <c r="Q645" s="31"/>
      <c r="R645" s="11"/>
      <c r="S645" s="11"/>
      <c r="T645" s="11"/>
      <c r="U645" s="32" t="str">
        <f aca="false">IF((LEN(A645)+LEN(B645)+LEN(C645)+LEN(D645)+LEN(E645)+LEN(F645)+LEN(G645)+LEN(H645)+LEN(I645)+LEN(J645)+LEN(K645)+LEN(M645)+LEN(N645)+LEN(O645)+LEN(P645)+LEN(Q645)+LEN(R645)+LEN(S645)+LEN(T645))=0,"",IF(OR(A645="",B645="",C645="",D645="",E645="",J645="",K645="",N645=""),"⚠ Champ obligatoire manquant",IF(AND(ISNUMBER(K645),ISNUMBER(J645),N(K645)&gt;N(J645)),"⚠ Prix Autopiec &gt; prix public",IF(COUNTIFS($A$2:$A$1001,A645,$B$2:$B$1001,B645)&gt;1,"⚠ Référence en double","✔ OK"))))</f>
        <v/>
      </c>
    </row>
    <row r="646" customFormat="false" ht="15" hidden="false" customHeight="false" outlineLevel="0" collapsed="false">
      <c r="A646" s="11"/>
      <c r="B646" s="27"/>
      <c r="C646" s="11"/>
      <c r="D646" s="11"/>
      <c r="E646" s="11"/>
      <c r="F646" s="27"/>
      <c r="G646" s="27"/>
      <c r="H646" s="11"/>
      <c r="I646" s="11"/>
      <c r="J646" s="12"/>
      <c r="K646" s="12"/>
      <c r="L646" s="28" t="str">
        <f aca="false">IF(AND(ISNUMBER(J646),ISNUMBER(K646),N(J646)&gt;0),1-K646/J646,"")</f>
        <v/>
      </c>
      <c r="M646" s="29"/>
      <c r="N646" s="30"/>
      <c r="O646" s="30"/>
      <c r="P646" s="11"/>
      <c r="Q646" s="31"/>
      <c r="R646" s="11"/>
      <c r="S646" s="11"/>
      <c r="T646" s="11"/>
      <c r="U646" s="32" t="str">
        <f aca="false">IF((LEN(A646)+LEN(B646)+LEN(C646)+LEN(D646)+LEN(E646)+LEN(F646)+LEN(G646)+LEN(H646)+LEN(I646)+LEN(J646)+LEN(K646)+LEN(M646)+LEN(N646)+LEN(O646)+LEN(P646)+LEN(Q646)+LEN(R646)+LEN(S646)+LEN(T646))=0,"",IF(OR(A646="",B646="",C646="",D646="",E646="",J646="",K646="",N646=""),"⚠ Champ obligatoire manquant",IF(AND(ISNUMBER(K646),ISNUMBER(J646),N(K646)&gt;N(J646)),"⚠ Prix Autopiec &gt; prix public",IF(COUNTIFS($A$2:$A$1001,A646,$B$2:$B$1001,B646)&gt;1,"⚠ Référence en double","✔ OK"))))</f>
        <v/>
      </c>
    </row>
    <row r="647" customFormat="false" ht="15" hidden="false" customHeight="false" outlineLevel="0" collapsed="false">
      <c r="A647" s="11"/>
      <c r="B647" s="27"/>
      <c r="C647" s="11"/>
      <c r="D647" s="11"/>
      <c r="E647" s="11"/>
      <c r="F647" s="27"/>
      <c r="G647" s="27"/>
      <c r="H647" s="11"/>
      <c r="I647" s="11"/>
      <c r="J647" s="12"/>
      <c r="K647" s="12"/>
      <c r="L647" s="28" t="str">
        <f aca="false">IF(AND(ISNUMBER(J647),ISNUMBER(K647),N(J647)&gt;0),1-K647/J647,"")</f>
        <v/>
      </c>
      <c r="M647" s="29"/>
      <c r="N647" s="30"/>
      <c r="O647" s="30"/>
      <c r="P647" s="11"/>
      <c r="Q647" s="31"/>
      <c r="R647" s="11"/>
      <c r="S647" s="11"/>
      <c r="T647" s="11"/>
      <c r="U647" s="32" t="str">
        <f aca="false">IF((LEN(A647)+LEN(B647)+LEN(C647)+LEN(D647)+LEN(E647)+LEN(F647)+LEN(G647)+LEN(H647)+LEN(I647)+LEN(J647)+LEN(K647)+LEN(M647)+LEN(N647)+LEN(O647)+LEN(P647)+LEN(Q647)+LEN(R647)+LEN(S647)+LEN(T647))=0,"",IF(OR(A647="",B647="",C647="",D647="",E647="",J647="",K647="",N647=""),"⚠ Champ obligatoire manquant",IF(AND(ISNUMBER(K647),ISNUMBER(J647),N(K647)&gt;N(J647)),"⚠ Prix Autopiec &gt; prix public",IF(COUNTIFS($A$2:$A$1001,A647,$B$2:$B$1001,B647)&gt;1,"⚠ Référence en double","✔ OK"))))</f>
        <v/>
      </c>
    </row>
    <row r="648" customFormat="false" ht="15" hidden="false" customHeight="false" outlineLevel="0" collapsed="false">
      <c r="A648" s="11"/>
      <c r="B648" s="27"/>
      <c r="C648" s="11"/>
      <c r="D648" s="11"/>
      <c r="E648" s="11"/>
      <c r="F648" s="27"/>
      <c r="G648" s="27"/>
      <c r="H648" s="11"/>
      <c r="I648" s="11"/>
      <c r="J648" s="12"/>
      <c r="K648" s="12"/>
      <c r="L648" s="28" t="str">
        <f aca="false">IF(AND(ISNUMBER(J648),ISNUMBER(K648),N(J648)&gt;0),1-K648/J648,"")</f>
        <v/>
      </c>
      <c r="M648" s="29"/>
      <c r="N648" s="30"/>
      <c r="O648" s="30"/>
      <c r="P648" s="11"/>
      <c r="Q648" s="31"/>
      <c r="R648" s="11"/>
      <c r="S648" s="11"/>
      <c r="T648" s="11"/>
      <c r="U648" s="32" t="str">
        <f aca="false">IF((LEN(A648)+LEN(B648)+LEN(C648)+LEN(D648)+LEN(E648)+LEN(F648)+LEN(G648)+LEN(H648)+LEN(I648)+LEN(J648)+LEN(K648)+LEN(M648)+LEN(N648)+LEN(O648)+LEN(P648)+LEN(Q648)+LEN(R648)+LEN(S648)+LEN(T648))=0,"",IF(OR(A648="",B648="",C648="",D648="",E648="",J648="",K648="",N648=""),"⚠ Champ obligatoire manquant",IF(AND(ISNUMBER(K648),ISNUMBER(J648),N(K648)&gt;N(J648)),"⚠ Prix Autopiec &gt; prix public",IF(COUNTIFS($A$2:$A$1001,A648,$B$2:$B$1001,B648)&gt;1,"⚠ Référence en double","✔ OK"))))</f>
        <v/>
      </c>
    </row>
    <row r="649" customFormat="false" ht="15" hidden="false" customHeight="false" outlineLevel="0" collapsed="false">
      <c r="A649" s="11"/>
      <c r="B649" s="27"/>
      <c r="C649" s="11"/>
      <c r="D649" s="11"/>
      <c r="E649" s="11"/>
      <c r="F649" s="27"/>
      <c r="G649" s="27"/>
      <c r="H649" s="11"/>
      <c r="I649" s="11"/>
      <c r="J649" s="12"/>
      <c r="K649" s="12"/>
      <c r="L649" s="28" t="str">
        <f aca="false">IF(AND(ISNUMBER(J649),ISNUMBER(K649),N(J649)&gt;0),1-K649/J649,"")</f>
        <v/>
      </c>
      <c r="M649" s="29"/>
      <c r="N649" s="30"/>
      <c r="O649" s="30"/>
      <c r="P649" s="11"/>
      <c r="Q649" s="31"/>
      <c r="R649" s="11"/>
      <c r="S649" s="11"/>
      <c r="T649" s="11"/>
      <c r="U649" s="32" t="str">
        <f aca="false">IF((LEN(A649)+LEN(B649)+LEN(C649)+LEN(D649)+LEN(E649)+LEN(F649)+LEN(G649)+LEN(H649)+LEN(I649)+LEN(J649)+LEN(K649)+LEN(M649)+LEN(N649)+LEN(O649)+LEN(P649)+LEN(Q649)+LEN(R649)+LEN(S649)+LEN(T649))=0,"",IF(OR(A649="",B649="",C649="",D649="",E649="",J649="",K649="",N649=""),"⚠ Champ obligatoire manquant",IF(AND(ISNUMBER(K649),ISNUMBER(J649),N(K649)&gt;N(J649)),"⚠ Prix Autopiec &gt; prix public",IF(COUNTIFS($A$2:$A$1001,A649,$B$2:$B$1001,B649)&gt;1,"⚠ Référence en double","✔ OK"))))</f>
        <v/>
      </c>
    </row>
    <row r="650" customFormat="false" ht="15" hidden="false" customHeight="false" outlineLevel="0" collapsed="false">
      <c r="A650" s="11"/>
      <c r="B650" s="27"/>
      <c r="C650" s="11"/>
      <c r="D650" s="11"/>
      <c r="E650" s="11"/>
      <c r="F650" s="27"/>
      <c r="G650" s="27"/>
      <c r="H650" s="11"/>
      <c r="I650" s="11"/>
      <c r="J650" s="12"/>
      <c r="K650" s="12"/>
      <c r="L650" s="28" t="str">
        <f aca="false">IF(AND(ISNUMBER(J650),ISNUMBER(K650),N(J650)&gt;0),1-K650/J650,"")</f>
        <v/>
      </c>
      <c r="M650" s="29"/>
      <c r="N650" s="30"/>
      <c r="O650" s="30"/>
      <c r="P650" s="11"/>
      <c r="Q650" s="31"/>
      <c r="R650" s="11"/>
      <c r="S650" s="11"/>
      <c r="T650" s="11"/>
      <c r="U650" s="32" t="str">
        <f aca="false">IF((LEN(A650)+LEN(B650)+LEN(C650)+LEN(D650)+LEN(E650)+LEN(F650)+LEN(G650)+LEN(H650)+LEN(I650)+LEN(J650)+LEN(K650)+LEN(M650)+LEN(N650)+LEN(O650)+LEN(P650)+LEN(Q650)+LEN(R650)+LEN(S650)+LEN(T650))=0,"",IF(OR(A650="",B650="",C650="",D650="",E650="",J650="",K650="",N650=""),"⚠ Champ obligatoire manquant",IF(AND(ISNUMBER(K650),ISNUMBER(J650),N(K650)&gt;N(J650)),"⚠ Prix Autopiec &gt; prix public",IF(COUNTIFS($A$2:$A$1001,A650,$B$2:$B$1001,B650)&gt;1,"⚠ Référence en double","✔ OK"))))</f>
        <v/>
      </c>
    </row>
    <row r="651" customFormat="false" ht="15" hidden="false" customHeight="false" outlineLevel="0" collapsed="false">
      <c r="A651" s="11"/>
      <c r="B651" s="27"/>
      <c r="C651" s="11"/>
      <c r="D651" s="11"/>
      <c r="E651" s="11"/>
      <c r="F651" s="27"/>
      <c r="G651" s="27"/>
      <c r="H651" s="11"/>
      <c r="I651" s="11"/>
      <c r="J651" s="12"/>
      <c r="K651" s="12"/>
      <c r="L651" s="28" t="str">
        <f aca="false">IF(AND(ISNUMBER(J651),ISNUMBER(K651),N(J651)&gt;0),1-K651/J651,"")</f>
        <v/>
      </c>
      <c r="M651" s="29"/>
      <c r="N651" s="30"/>
      <c r="O651" s="30"/>
      <c r="P651" s="11"/>
      <c r="Q651" s="31"/>
      <c r="R651" s="11"/>
      <c r="S651" s="11"/>
      <c r="T651" s="11"/>
      <c r="U651" s="32" t="str">
        <f aca="false">IF((LEN(A651)+LEN(B651)+LEN(C651)+LEN(D651)+LEN(E651)+LEN(F651)+LEN(G651)+LEN(H651)+LEN(I651)+LEN(J651)+LEN(K651)+LEN(M651)+LEN(N651)+LEN(O651)+LEN(P651)+LEN(Q651)+LEN(R651)+LEN(S651)+LEN(T651))=0,"",IF(OR(A651="",B651="",C651="",D651="",E651="",J651="",K651="",N651=""),"⚠ Champ obligatoire manquant",IF(AND(ISNUMBER(K651),ISNUMBER(J651),N(K651)&gt;N(J651)),"⚠ Prix Autopiec &gt; prix public",IF(COUNTIFS($A$2:$A$1001,A651,$B$2:$B$1001,B651)&gt;1,"⚠ Référence en double","✔ OK"))))</f>
        <v/>
      </c>
    </row>
    <row r="652" customFormat="false" ht="15" hidden="false" customHeight="false" outlineLevel="0" collapsed="false">
      <c r="A652" s="11"/>
      <c r="B652" s="27"/>
      <c r="C652" s="11"/>
      <c r="D652" s="11"/>
      <c r="E652" s="11"/>
      <c r="F652" s="27"/>
      <c r="G652" s="27"/>
      <c r="H652" s="11"/>
      <c r="I652" s="11"/>
      <c r="J652" s="12"/>
      <c r="K652" s="12"/>
      <c r="L652" s="28" t="str">
        <f aca="false">IF(AND(ISNUMBER(J652),ISNUMBER(K652),N(J652)&gt;0),1-K652/J652,"")</f>
        <v/>
      </c>
      <c r="M652" s="29"/>
      <c r="N652" s="30"/>
      <c r="O652" s="30"/>
      <c r="P652" s="11"/>
      <c r="Q652" s="31"/>
      <c r="R652" s="11"/>
      <c r="S652" s="11"/>
      <c r="T652" s="11"/>
      <c r="U652" s="32" t="str">
        <f aca="false">IF((LEN(A652)+LEN(B652)+LEN(C652)+LEN(D652)+LEN(E652)+LEN(F652)+LEN(G652)+LEN(H652)+LEN(I652)+LEN(J652)+LEN(K652)+LEN(M652)+LEN(N652)+LEN(O652)+LEN(P652)+LEN(Q652)+LEN(R652)+LEN(S652)+LEN(T652))=0,"",IF(OR(A652="",B652="",C652="",D652="",E652="",J652="",K652="",N652=""),"⚠ Champ obligatoire manquant",IF(AND(ISNUMBER(K652),ISNUMBER(J652),N(K652)&gt;N(J652)),"⚠ Prix Autopiec &gt; prix public",IF(COUNTIFS($A$2:$A$1001,A652,$B$2:$B$1001,B652)&gt;1,"⚠ Référence en double","✔ OK"))))</f>
        <v/>
      </c>
    </row>
    <row r="653" customFormat="false" ht="15" hidden="false" customHeight="false" outlineLevel="0" collapsed="false">
      <c r="A653" s="11"/>
      <c r="B653" s="27"/>
      <c r="C653" s="11"/>
      <c r="D653" s="11"/>
      <c r="E653" s="11"/>
      <c r="F653" s="27"/>
      <c r="G653" s="27"/>
      <c r="H653" s="11"/>
      <c r="I653" s="11"/>
      <c r="J653" s="12"/>
      <c r="K653" s="12"/>
      <c r="L653" s="28" t="str">
        <f aca="false">IF(AND(ISNUMBER(J653),ISNUMBER(K653),N(J653)&gt;0),1-K653/J653,"")</f>
        <v/>
      </c>
      <c r="M653" s="29"/>
      <c r="N653" s="30"/>
      <c r="O653" s="30"/>
      <c r="P653" s="11"/>
      <c r="Q653" s="31"/>
      <c r="R653" s="11"/>
      <c r="S653" s="11"/>
      <c r="T653" s="11"/>
      <c r="U653" s="32" t="str">
        <f aca="false">IF((LEN(A653)+LEN(B653)+LEN(C653)+LEN(D653)+LEN(E653)+LEN(F653)+LEN(G653)+LEN(H653)+LEN(I653)+LEN(J653)+LEN(K653)+LEN(M653)+LEN(N653)+LEN(O653)+LEN(P653)+LEN(Q653)+LEN(R653)+LEN(S653)+LEN(T653))=0,"",IF(OR(A653="",B653="",C653="",D653="",E653="",J653="",K653="",N653=""),"⚠ Champ obligatoire manquant",IF(AND(ISNUMBER(K653),ISNUMBER(J653),N(K653)&gt;N(J653)),"⚠ Prix Autopiec &gt; prix public",IF(COUNTIFS($A$2:$A$1001,A653,$B$2:$B$1001,B653)&gt;1,"⚠ Référence en double","✔ OK"))))</f>
        <v/>
      </c>
    </row>
    <row r="654" customFormat="false" ht="15" hidden="false" customHeight="false" outlineLevel="0" collapsed="false">
      <c r="A654" s="11"/>
      <c r="B654" s="27"/>
      <c r="C654" s="11"/>
      <c r="D654" s="11"/>
      <c r="E654" s="11"/>
      <c r="F654" s="27"/>
      <c r="G654" s="27"/>
      <c r="H654" s="11"/>
      <c r="I654" s="11"/>
      <c r="J654" s="12"/>
      <c r="K654" s="12"/>
      <c r="L654" s="28" t="str">
        <f aca="false">IF(AND(ISNUMBER(J654),ISNUMBER(K654),N(J654)&gt;0),1-K654/J654,"")</f>
        <v/>
      </c>
      <c r="M654" s="29"/>
      <c r="N654" s="30"/>
      <c r="O654" s="30"/>
      <c r="P654" s="11"/>
      <c r="Q654" s="31"/>
      <c r="R654" s="11"/>
      <c r="S654" s="11"/>
      <c r="T654" s="11"/>
      <c r="U654" s="32" t="str">
        <f aca="false">IF((LEN(A654)+LEN(B654)+LEN(C654)+LEN(D654)+LEN(E654)+LEN(F654)+LEN(G654)+LEN(H654)+LEN(I654)+LEN(J654)+LEN(K654)+LEN(M654)+LEN(N654)+LEN(O654)+LEN(P654)+LEN(Q654)+LEN(R654)+LEN(S654)+LEN(T654))=0,"",IF(OR(A654="",B654="",C654="",D654="",E654="",J654="",K654="",N654=""),"⚠ Champ obligatoire manquant",IF(AND(ISNUMBER(K654),ISNUMBER(J654),N(K654)&gt;N(J654)),"⚠ Prix Autopiec &gt; prix public",IF(COUNTIFS($A$2:$A$1001,A654,$B$2:$B$1001,B654)&gt;1,"⚠ Référence en double","✔ OK"))))</f>
        <v/>
      </c>
    </row>
    <row r="655" customFormat="false" ht="15" hidden="false" customHeight="false" outlineLevel="0" collapsed="false">
      <c r="A655" s="11"/>
      <c r="B655" s="27"/>
      <c r="C655" s="11"/>
      <c r="D655" s="11"/>
      <c r="E655" s="11"/>
      <c r="F655" s="27"/>
      <c r="G655" s="27"/>
      <c r="H655" s="11"/>
      <c r="I655" s="11"/>
      <c r="J655" s="12"/>
      <c r="K655" s="12"/>
      <c r="L655" s="28" t="str">
        <f aca="false">IF(AND(ISNUMBER(J655),ISNUMBER(K655),N(J655)&gt;0),1-K655/J655,"")</f>
        <v/>
      </c>
      <c r="M655" s="29"/>
      <c r="N655" s="30"/>
      <c r="O655" s="30"/>
      <c r="P655" s="11"/>
      <c r="Q655" s="31"/>
      <c r="R655" s="11"/>
      <c r="S655" s="11"/>
      <c r="T655" s="11"/>
      <c r="U655" s="32" t="str">
        <f aca="false">IF((LEN(A655)+LEN(B655)+LEN(C655)+LEN(D655)+LEN(E655)+LEN(F655)+LEN(G655)+LEN(H655)+LEN(I655)+LEN(J655)+LEN(K655)+LEN(M655)+LEN(N655)+LEN(O655)+LEN(P655)+LEN(Q655)+LEN(R655)+LEN(S655)+LEN(T655))=0,"",IF(OR(A655="",B655="",C655="",D655="",E655="",J655="",K655="",N655=""),"⚠ Champ obligatoire manquant",IF(AND(ISNUMBER(K655),ISNUMBER(J655),N(K655)&gt;N(J655)),"⚠ Prix Autopiec &gt; prix public",IF(COUNTIFS($A$2:$A$1001,A655,$B$2:$B$1001,B655)&gt;1,"⚠ Référence en double","✔ OK"))))</f>
        <v/>
      </c>
    </row>
    <row r="656" customFormat="false" ht="15" hidden="false" customHeight="false" outlineLevel="0" collapsed="false">
      <c r="A656" s="11"/>
      <c r="B656" s="27"/>
      <c r="C656" s="11"/>
      <c r="D656" s="11"/>
      <c r="E656" s="11"/>
      <c r="F656" s="27"/>
      <c r="G656" s="27"/>
      <c r="H656" s="11"/>
      <c r="I656" s="11"/>
      <c r="J656" s="12"/>
      <c r="K656" s="12"/>
      <c r="L656" s="28" t="str">
        <f aca="false">IF(AND(ISNUMBER(J656),ISNUMBER(K656),N(J656)&gt;0),1-K656/J656,"")</f>
        <v/>
      </c>
      <c r="M656" s="29"/>
      <c r="N656" s="30"/>
      <c r="O656" s="30"/>
      <c r="P656" s="11"/>
      <c r="Q656" s="31"/>
      <c r="R656" s="11"/>
      <c r="S656" s="11"/>
      <c r="T656" s="11"/>
      <c r="U656" s="32" t="str">
        <f aca="false">IF((LEN(A656)+LEN(B656)+LEN(C656)+LEN(D656)+LEN(E656)+LEN(F656)+LEN(G656)+LEN(H656)+LEN(I656)+LEN(J656)+LEN(K656)+LEN(M656)+LEN(N656)+LEN(O656)+LEN(P656)+LEN(Q656)+LEN(R656)+LEN(S656)+LEN(T656))=0,"",IF(OR(A656="",B656="",C656="",D656="",E656="",J656="",K656="",N656=""),"⚠ Champ obligatoire manquant",IF(AND(ISNUMBER(K656),ISNUMBER(J656),N(K656)&gt;N(J656)),"⚠ Prix Autopiec &gt; prix public",IF(COUNTIFS($A$2:$A$1001,A656,$B$2:$B$1001,B656)&gt;1,"⚠ Référence en double","✔ OK"))))</f>
        <v/>
      </c>
    </row>
    <row r="657" customFormat="false" ht="15" hidden="false" customHeight="false" outlineLevel="0" collapsed="false">
      <c r="A657" s="11"/>
      <c r="B657" s="27"/>
      <c r="C657" s="11"/>
      <c r="D657" s="11"/>
      <c r="E657" s="11"/>
      <c r="F657" s="27"/>
      <c r="G657" s="27"/>
      <c r="H657" s="11"/>
      <c r="I657" s="11"/>
      <c r="J657" s="12"/>
      <c r="K657" s="12"/>
      <c r="L657" s="28" t="str">
        <f aca="false">IF(AND(ISNUMBER(J657),ISNUMBER(K657),N(J657)&gt;0),1-K657/J657,"")</f>
        <v/>
      </c>
      <c r="M657" s="29"/>
      <c r="N657" s="30"/>
      <c r="O657" s="30"/>
      <c r="P657" s="11"/>
      <c r="Q657" s="31"/>
      <c r="R657" s="11"/>
      <c r="S657" s="11"/>
      <c r="T657" s="11"/>
      <c r="U657" s="32" t="str">
        <f aca="false">IF((LEN(A657)+LEN(B657)+LEN(C657)+LEN(D657)+LEN(E657)+LEN(F657)+LEN(G657)+LEN(H657)+LEN(I657)+LEN(J657)+LEN(K657)+LEN(M657)+LEN(N657)+LEN(O657)+LEN(P657)+LEN(Q657)+LEN(R657)+LEN(S657)+LEN(T657))=0,"",IF(OR(A657="",B657="",C657="",D657="",E657="",J657="",K657="",N657=""),"⚠ Champ obligatoire manquant",IF(AND(ISNUMBER(K657),ISNUMBER(J657),N(K657)&gt;N(J657)),"⚠ Prix Autopiec &gt; prix public",IF(COUNTIFS($A$2:$A$1001,A657,$B$2:$B$1001,B657)&gt;1,"⚠ Référence en double","✔ OK"))))</f>
        <v/>
      </c>
    </row>
    <row r="658" customFormat="false" ht="15" hidden="false" customHeight="false" outlineLevel="0" collapsed="false">
      <c r="A658" s="11"/>
      <c r="B658" s="27"/>
      <c r="C658" s="11"/>
      <c r="D658" s="11"/>
      <c r="E658" s="11"/>
      <c r="F658" s="27"/>
      <c r="G658" s="27"/>
      <c r="H658" s="11"/>
      <c r="I658" s="11"/>
      <c r="J658" s="12"/>
      <c r="K658" s="12"/>
      <c r="L658" s="28" t="str">
        <f aca="false">IF(AND(ISNUMBER(J658),ISNUMBER(K658),N(J658)&gt;0),1-K658/J658,"")</f>
        <v/>
      </c>
      <c r="M658" s="29"/>
      <c r="N658" s="30"/>
      <c r="O658" s="30"/>
      <c r="P658" s="11"/>
      <c r="Q658" s="31"/>
      <c r="R658" s="11"/>
      <c r="S658" s="11"/>
      <c r="T658" s="11"/>
      <c r="U658" s="32" t="str">
        <f aca="false">IF((LEN(A658)+LEN(B658)+LEN(C658)+LEN(D658)+LEN(E658)+LEN(F658)+LEN(G658)+LEN(H658)+LEN(I658)+LEN(J658)+LEN(K658)+LEN(M658)+LEN(N658)+LEN(O658)+LEN(P658)+LEN(Q658)+LEN(R658)+LEN(S658)+LEN(T658))=0,"",IF(OR(A658="",B658="",C658="",D658="",E658="",J658="",K658="",N658=""),"⚠ Champ obligatoire manquant",IF(AND(ISNUMBER(K658),ISNUMBER(J658),N(K658)&gt;N(J658)),"⚠ Prix Autopiec &gt; prix public",IF(COUNTIFS($A$2:$A$1001,A658,$B$2:$B$1001,B658)&gt;1,"⚠ Référence en double","✔ OK"))))</f>
        <v/>
      </c>
    </row>
    <row r="659" customFormat="false" ht="15" hidden="false" customHeight="false" outlineLevel="0" collapsed="false">
      <c r="A659" s="11"/>
      <c r="B659" s="27"/>
      <c r="C659" s="11"/>
      <c r="D659" s="11"/>
      <c r="E659" s="11"/>
      <c r="F659" s="27"/>
      <c r="G659" s="27"/>
      <c r="H659" s="11"/>
      <c r="I659" s="11"/>
      <c r="J659" s="12"/>
      <c r="K659" s="12"/>
      <c r="L659" s="28" t="str">
        <f aca="false">IF(AND(ISNUMBER(J659),ISNUMBER(K659),N(J659)&gt;0),1-K659/J659,"")</f>
        <v/>
      </c>
      <c r="M659" s="29"/>
      <c r="N659" s="30"/>
      <c r="O659" s="30"/>
      <c r="P659" s="11"/>
      <c r="Q659" s="31"/>
      <c r="R659" s="11"/>
      <c r="S659" s="11"/>
      <c r="T659" s="11"/>
      <c r="U659" s="32" t="str">
        <f aca="false">IF((LEN(A659)+LEN(B659)+LEN(C659)+LEN(D659)+LEN(E659)+LEN(F659)+LEN(G659)+LEN(H659)+LEN(I659)+LEN(J659)+LEN(K659)+LEN(M659)+LEN(N659)+LEN(O659)+LEN(P659)+LEN(Q659)+LEN(R659)+LEN(S659)+LEN(T659))=0,"",IF(OR(A659="",B659="",C659="",D659="",E659="",J659="",K659="",N659=""),"⚠ Champ obligatoire manquant",IF(AND(ISNUMBER(K659),ISNUMBER(J659),N(K659)&gt;N(J659)),"⚠ Prix Autopiec &gt; prix public",IF(COUNTIFS($A$2:$A$1001,A659,$B$2:$B$1001,B659)&gt;1,"⚠ Référence en double","✔ OK"))))</f>
        <v/>
      </c>
    </row>
    <row r="660" customFormat="false" ht="15" hidden="false" customHeight="false" outlineLevel="0" collapsed="false">
      <c r="A660" s="11"/>
      <c r="B660" s="27"/>
      <c r="C660" s="11"/>
      <c r="D660" s="11"/>
      <c r="E660" s="11"/>
      <c r="F660" s="27"/>
      <c r="G660" s="27"/>
      <c r="H660" s="11"/>
      <c r="I660" s="11"/>
      <c r="J660" s="12"/>
      <c r="K660" s="12"/>
      <c r="L660" s="28" t="str">
        <f aca="false">IF(AND(ISNUMBER(J660),ISNUMBER(K660),N(J660)&gt;0),1-K660/J660,"")</f>
        <v/>
      </c>
      <c r="M660" s="29"/>
      <c r="N660" s="30"/>
      <c r="O660" s="30"/>
      <c r="P660" s="11"/>
      <c r="Q660" s="31"/>
      <c r="R660" s="11"/>
      <c r="S660" s="11"/>
      <c r="T660" s="11"/>
      <c r="U660" s="32" t="str">
        <f aca="false">IF((LEN(A660)+LEN(B660)+LEN(C660)+LEN(D660)+LEN(E660)+LEN(F660)+LEN(G660)+LEN(H660)+LEN(I660)+LEN(J660)+LEN(K660)+LEN(M660)+LEN(N660)+LEN(O660)+LEN(P660)+LEN(Q660)+LEN(R660)+LEN(S660)+LEN(T660))=0,"",IF(OR(A660="",B660="",C660="",D660="",E660="",J660="",K660="",N660=""),"⚠ Champ obligatoire manquant",IF(AND(ISNUMBER(K660),ISNUMBER(J660),N(K660)&gt;N(J660)),"⚠ Prix Autopiec &gt; prix public",IF(COUNTIFS($A$2:$A$1001,A660,$B$2:$B$1001,B660)&gt;1,"⚠ Référence en double","✔ OK"))))</f>
        <v/>
      </c>
    </row>
    <row r="661" customFormat="false" ht="15" hidden="false" customHeight="false" outlineLevel="0" collapsed="false">
      <c r="A661" s="11"/>
      <c r="B661" s="27"/>
      <c r="C661" s="11"/>
      <c r="D661" s="11"/>
      <c r="E661" s="11"/>
      <c r="F661" s="27"/>
      <c r="G661" s="27"/>
      <c r="H661" s="11"/>
      <c r="I661" s="11"/>
      <c r="J661" s="12"/>
      <c r="K661" s="12"/>
      <c r="L661" s="28" t="str">
        <f aca="false">IF(AND(ISNUMBER(J661),ISNUMBER(K661),N(J661)&gt;0),1-K661/J661,"")</f>
        <v/>
      </c>
      <c r="M661" s="29"/>
      <c r="N661" s="30"/>
      <c r="O661" s="30"/>
      <c r="P661" s="11"/>
      <c r="Q661" s="31"/>
      <c r="R661" s="11"/>
      <c r="S661" s="11"/>
      <c r="T661" s="11"/>
      <c r="U661" s="32" t="str">
        <f aca="false">IF((LEN(A661)+LEN(B661)+LEN(C661)+LEN(D661)+LEN(E661)+LEN(F661)+LEN(G661)+LEN(H661)+LEN(I661)+LEN(J661)+LEN(K661)+LEN(M661)+LEN(N661)+LEN(O661)+LEN(P661)+LEN(Q661)+LEN(R661)+LEN(S661)+LEN(T661))=0,"",IF(OR(A661="",B661="",C661="",D661="",E661="",J661="",K661="",N661=""),"⚠ Champ obligatoire manquant",IF(AND(ISNUMBER(K661),ISNUMBER(J661),N(K661)&gt;N(J661)),"⚠ Prix Autopiec &gt; prix public",IF(COUNTIFS($A$2:$A$1001,A661,$B$2:$B$1001,B661)&gt;1,"⚠ Référence en double","✔ OK"))))</f>
        <v/>
      </c>
    </row>
    <row r="662" customFormat="false" ht="15" hidden="false" customHeight="false" outlineLevel="0" collapsed="false">
      <c r="A662" s="11"/>
      <c r="B662" s="27"/>
      <c r="C662" s="11"/>
      <c r="D662" s="11"/>
      <c r="E662" s="11"/>
      <c r="F662" s="27"/>
      <c r="G662" s="27"/>
      <c r="H662" s="11"/>
      <c r="I662" s="11"/>
      <c r="J662" s="12"/>
      <c r="K662" s="12"/>
      <c r="L662" s="28" t="str">
        <f aca="false">IF(AND(ISNUMBER(J662),ISNUMBER(K662),N(J662)&gt;0),1-K662/J662,"")</f>
        <v/>
      </c>
      <c r="M662" s="29"/>
      <c r="N662" s="30"/>
      <c r="O662" s="30"/>
      <c r="P662" s="11"/>
      <c r="Q662" s="31"/>
      <c r="R662" s="11"/>
      <c r="S662" s="11"/>
      <c r="T662" s="11"/>
      <c r="U662" s="32" t="str">
        <f aca="false">IF((LEN(A662)+LEN(B662)+LEN(C662)+LEN(D662)+LEN(E662)+LEN(F662)+LEN(G662)+LEN(H662)+LEN(I662)+LEN(J662)+LEN(K662)+LEN(M662)+LEN(N662)+LEN(O662)+LEN(P662)+LEN(Q662)+LEN(R662)+LEN(S662)+LEN(T662))=0,"",IF(OR(A662="",B662="",C662="",D662="",E662="",J662="",K662="",N662=""),"⚠ Champ obligatoire manquant",IF(AND(ISNUMBER(K662),ISNUMBER(J662),N(K662)&gt;N(J662)),"⚠ Prix Autopiec &gt; prix public",IF(COUNTIFS($A$2:$A$1001,A662,$B$2:$B$1001,B662)&gt;1,"⚠ Référence en double","✔ OK"))))</f>
        <v/>
      </c>
    </row>
    <row r="663" customFormat="false" ht="15" hidden="false" customHeight="false" outlineLevel="0" collapsed="false">
      <c r="A663" s="11"/>
      <c r="B663" s="27"/>
      <c r="C663" s="11"/>
      <c r="D663" s="11"/>
      <c r="E663" s="11"/>
      <c r="F663" s="27"/>
      <c r="G663" s="27"/>
      <c r="H663" s="11"/>
      <c r="I663" s="11"/>
      <c r="J663" s="12"/>
      <c r="K663" s="12"/>
      <c r="L663" s="28" t="str">
        <f aca="false">IF(AND(ISNUMBER(J663),ISNUMBER(K663),N(J663)&gt;0),1-K663/J663,"")</f>
        <v/>
      </c>
      <c r="M663" s="29"/>
      <c r="N663" s="30"/>
      <c r="O663" s="30"/>
      <c r="P663" s="11"/>
      <c r="Q663" s="31"/>
      <c r="R663" s="11"/>
      <c r="S663" s="11"/>
      <c r="T663" s="11"/>
      <c r="U663" s="32" t="str">
        <f aca="false">IF((LEN(A663)+LEN(B663)+LEN(C663)+LEN(D663)+LEN(E663)+LEN(F663)+LEN(G663)+LEN(H663)+LEN(I663)+LEN(J663)+LEN(K663)+LEN(M663)+LEN(N663)+LEN(O663)+LEN(P663)+LEN(Q663)+LEN(R663)+LEN(S663)+LEN(T663))=0,"",IF(OR(A663="",B663="",C663="",D663="",E663="",J663="",K663="",N663=""),"⚠ Champ obligatoire manquant",IF(AND(ISNUMBER(K663),ISNUMBER(J663),N(K663)&gt;N(J663)),"⚠ Prix Autopiec &gt; prix public",IF(COUNTIFS($A$2:$A$1001,A663,$B$2:$B$1001,B663)&gt;1,"⚠ Référence en double","✔ OK"))))</f>
        <v/>
      </c>
    </row>
    <row r="664" customFormat="false" ht="15" hidden="false" customHeight="false" outlineLevel="0" collapsed="false">
      <c r="A664" s="11"/>
      <c r="B664" s="27"/>
      <c r="C664" s="11"/>
      <c r="D664" s="11"/>
      <c r="E664" s="11"/>
      <c r="F664" s="27"/>
      <c r="G664" s="27"/>
      <c r="H664" s="11"/>
      <c r="I664" s="11"/>
      <c r="J664" s="12"/>
      <c r="K664" s="12"/>
      <c r="L664" s="28" t="str">
        <f aca="false">IF(AND(ISNUMBER(J664),ISNUMBER(K664),N(J664)&gt;0),1-K664/J664,"")</f>
        <v/>
      </c>
      <c r="M664" s="29"/>
      <c r="N664" s="30"/>
      <c r="O664" s="30"/>
      <c r="P664" s="11"/>
      <c r="Q664" s="31"/>
      <c r="R664" s="11"/>
      <c r="S664" s="11"/>
      <c r="T664" s="11"/>
      <c r="U664" s="32" t="str">
        <f aca="false">IF((LEN(A664)+LEN(B664)+LEN(C664)+LEN(D664)+LEN(E664)+LEN(F664)+LEN(G664)+LEN(H664)+LEN(I664)+LEN(J664)+LEN(K664)+LEN(M664)+LEN(N664)+LEN(O664)+LEN(P664)+LEN(Q664)+LEN(R664)+LEN(S664)+LEN(T664))=0,"",IF(OR(A664="",B664="",C664="",D664="",E664="",J664="",K664="",N664=""),"⚠ Champ obligatoire manquant",IF(AND(ISNUMBER(K664),ISNUMBER(J664),N(K664)&gt;N(J664)),"⚠ Prix Autopiec &gt; prix public",IF(COUNTIFS($A$2:$A$1001,A664,$B$2:$B$1001,B664)&gt;1,"⚠ Référence en double","✔ OK"))))</f>
        <v/>
      </c>
    </row>
    <row r="665" customFormat="false" ht="15" hidden="false" customHeight="false" outlineLevel="0" collapsed="false">
      <c r="A665" s="11"/>
      <c r="B665" s="27"/>
      <c r="C665" s="11"/>
      <c r="D665" s="11"/>
      <c r="E665" s="11"/>
      <c r="F665" s="27"/>
      <c r="G665" s="27"/>
      <c r="H665" s="11"/>
      <c r="I665" s="11"/>
      <c r="J665" s="12"/>
      <c r="K665" s="12"/>
      <c r="L665" s="28" t="str">
        <f aca="false">IF(AND(ISNUMBER(J665),ISNUMBER(K665),N(J665)&gt;0),1-K665/J665,"")</f>
        <v/>
      </c>
      <c r="M665" s="29"/>
      <c r="N665" s="30"/>
      <c r="O665" s="30"/>
      <c r="P665" s="11"/>
      <c r="Q665" s="31"/>
      <c r="R665" s="11"/>
      <c r="S665" s="11"/>
      <c r="T665" s="11"/>
      <c r="U665" s="32" t="str">
        <f aca="false">IF((LEN(A665)+LEN(B665)+LEN(C665)+LEN(D665)+LEN(E665)+LEN(F665)+LEN(G665)+LEN(H665)+LEN(I665)+LEN(J665)+LEN(K665)+LEN(M665)+LEN(N665)+LEN(O665)+LEN(P665)+LEN(Q665)+LEN(R665)+LEN(S665)+LEN(T665))=0,"",IF(OR(A665="",B665="",C665="",D665="",E665="",J665="",K665="",N665=""),"⚠ Champ obligatoire manquant",IF(AND(ISNUMBER(K665),ISNUMBER(J665),N(K665)&gt;N(J665)),"⚠ Prix Autopiec &gt; prix public",IF(COUNTIFS($A$2:$A$1001,A665,$B$2:$B$1001,B665)&gt;1,"⚠ Référence en double","✔ OK"))))</f>
        <v/>
      </c>
    </row>
    <row r="666" customFormat="false" ht="15" hidden="false" customHeight="false" outlineLevel="0" collapsed="false">
      <c r="A666" s="11"/>
      <c r="B666" s="27"/>
      <c r="C666" s="11"/>
      <c r="D666" s="11"/>
      <c r="E666" s="11"/>
      <c r="F666" s="27"/>
      <c r="G666" s="27"/>
      <c r="H666" s="11"/>
      <c r="I666" s="11"/>
      <c r="J666" s="12"/>
      <c r="K666" s="12"/>
      <c r="L666" s="28" t="str">
        <f aca="false">IF(AND(ISNUMBER(J666),ISNUMBER(K666),N(J666)&gt;0),1-K666/J666,"")</f>
        <v/>
      </c>
      <c r="M666" s="29"/>
      <c r="N666" s="30"/>
      <c r="O666" s="30"/>
      <c r="P666" s="11"/>
      <c r="Q666" s="31"/>
      <c r="R666" s="11"/>
      <c r="S666" s="11"/>
      <c r="T666" s="11"/>
      <c r="U666" s="32" t="str">
        <f aca="false">IF((LEN(A666)+LEN(B666)+LEN(C666)+LEN(D666)+LEN(E666)+LEN(F666)+LEN(G666)+LEN(H666)+LEN(I666)+LEN(J666)+LEN(K666)+LEN(M666)+LEN(N666)+LEN(O666)+LEN(P666)+LEN(Q666)+LEN(R666)+LEN(S666)+LEN(T666))=0,"",IF(OR(A666="",B666="",C666="",D666="",E666="",J666="",K666="",N666=""),"⚠ Champ obligatoire manquant",IF(AND(ISNUMBER(K666),ISNUMBER(J666),N(K666)&gt;N(J666)),"⚠ Prix Autopiec &gt; prix public",IF(COUNTIFS($A$2:$A$1001,A666,$B$2:$B$1001,B666)&gt;1,"⚠ Référence en double","✔ OK"))))</f>
        <v/>
      </c>
    </row>
    <row r="667" customFormat="false" ht="15" hidden="false" customHeight="false" outlineLevel="0" collapsed="false">
      <c r="A667" s="11"/>
      <c r="B667" s="27"/>
      <c r="C667" s="11"/>
      <c r="D667" s="11"/>
      <c r="E667" s="11"/>
      <c r="F667" s="27"/>
      <c r="G667" s="27"/>
      <c r="H667" s="11"/>
      <c r="I667" s="11"/>
      <c r="J667" s="12"/>
      <c r="K667" s="12"/>
      <c r="L667" s="28" t="str">
        <f aca="false">IF(AND(ISNUMBER(J667),ISNUMBER(K667),N(J667)&gt;0),1-K667/J667,"")</f>
        <v/>
      </c>
      <c r="M667" s="29"/>
      <c r="N667" s="30"/>
      <c r="O667" s="30"/>
      <c r="P667" s="11"/>
      <c r="Q667" s="31"/>
      <c r="R667" s="11"/>
      <c r="S667" s="11"/>
      <c r="T667" s="11"/>
      <c r="U667" s="32" t="str">
        <f aca="false">IF((LEN(A667)+LEN(B667)+LEN(C667)+LEN(D667)+LEN(E667)+LEN(F667)+LEN(G667)+LEN(H667)+LEN(I667)+LEN(J667)+LEN(K667)+LEN(M667)+LEN(N667)+LEN(O667)+LEN(P667)+LEN(Q667)+LEN(R667)+LEN(S667)+LEN(T667))=0,"",IF(OR(A667="",B667="",C667="",D667="",E667="",J667="",K667="",N667=""),"⚠ Champ obligatoire manquant",IF(AND(ISNUMBER(K667),ISNUMBER(J667),N(K667)&gt;N(J667)),"⚠ Prix Autopiec &gt; prix public",IF(COUNTIFS($A$2:$A$1001,A667,$B$2:$B$1001,B667)&gt;1,"⚠ Référence en double","✔ OK"))))</f>
        <v/>
      </c>
    </row>
    <row r="668" customFormat="false" ht="15" hidden="false" customHeight="false" outlineLevel="0" collapsed="false">
      <c r="A668" s="11"/>
      <c r="B668" s="27"/>
      <c r="C668" s="11"/>
      <c r="D668" s="11"/>
      <c r="E668" s="11"/>
      <c r="F668" s="27"/>
      <c r="G668" s="27"/>
      <c r="H668" s="11"/>
      <c r="I668" s="11"/>
      <c r="J668" s="12"/>
      <c r="K668" s="12"/>
      <c r="L668" s="28" t="str">
        <f aca="false">IF(AND(ISNUMBER(J668),ISNUMBER(K668),N(J668)&gt;0),1-K668/J668,"")</f>
        <v/>
      </c>
      <c r="M668" s="29"/>
      <c r="N668" s="30"/>
      <c r="O668" s="30"/>
      <c r="P668" s="11"/>
      <c r="Q668" s="31"/>
      <c r="R668" s="11"/>
      <c r="S668" s="11"/>
      <c r="T668" s="11"/>
      <c r="U668" s="32" t="str">
        <f aca="false">IF((LEN(A668)+LEN(B668)+LEN(C668)+LEN(D668)+LEN(E668)+LEN(F668)+LEN(G668)+LEN(H668)+LEN(I668)+LEN(J668)+LEN(K668)+LEN(M668)+LEN(N668)+LEN(O668)+LEN(P668)+LEN(Q668)+LEN(R668)+LEN(S668)+LEN(T668))=0,"",IF(OR(A668="",B668="",C668="",D668="",E668="",J668="",K668="",N668=""),"⚠ Champ obligatoire manquant",IF(AND(ISNUMBER(K668),ISNUMBER(J668),N(K668)&gt;N(J668)),"⚠ Prix Autopiec &gt; prix public",IF(COUNTIFS($A$2:$A$1001,A668,$B$2:$B$1001,B668)&gt;1,"⚠ Référence en double","✔ OK"))))</f>
        <v/>
      </c>
    </row>
    <row r="669" customFormat="false" ht="15" hidden="false" customHeight="false" outlineLevel="0" collapsed="false">
      <c r="A669" s="11"/>
      <c r="B669" s="27"/>
      <c r="C669" s="11"/>
      <c r="D669" s="11"/>
      <c r="E669" s="11"/>
      <c r="F669" s="27"/>
      <c r="G669" s="27"/>
      <c r="H669" s="11"/>
      <c r="I669" s="11"/>
      <c r="J669" s="12"/>
      <c r="K669" s="12"/>
      <c r="L669" s="28" t="str">
        <f aca="false">IF(AND(ISNUMBER(J669),ISNUMBER(K669),N(J669)&gt;0),1-K669/J669,"")</f>
        <v/>
      </c>
      <c r="M669" s="29"/>
      <c r="N669" s="30"/>
      <c r="O669" s="30"/>
      <c r="P669" s="11"/>
      <c r="Q669" s="31"/>
      <c r="R669" s="11"/>
      <c r="S669" s="11"/>
      <c r="T669" s="11"/>
      <c r="U669" s="32" t="str">
        <f aca="false">IF((LEN(A669)+LEN(B669)+LEN(C669)+LEN(D669)+LEN(E669)+LEN(F669)+LEN(G669)+LEN(H669)+LEN(I669)+LEN(J669)+LEN(K669)+LEN(M669)+LEN(N669)+LEN(O669)+LEN(P669)+LEN(Q669)+LEN(R669)+LEN(S669)+LEN(T669))=0,"",IF(OR(A669="",B669="",C669="",D669="",E669="",J669="",K669="",N669=""),"⚠ Champ obligatoire manquant",IF(AND(ISNUMBER(K669),ISNUMBER(J669),N(K669)&gt;N(J669)),"⚠ Prix Autopiec &gt; prix public",IF(COUNTIFS($A$2:$A$1001,A669,$B$2:$B$1001,B669)&gt;1,"⚠ Référence en double","✔ OK"))))</f>
        <v/>
      </c>
    </row>
    <row r="670" customFormat="false" ht="15" hidden="false" customHeight="false" outlineLevel="0" collapsed="false">
      <c r="A670" s="11"/>
      <c r="B670" s="27"/>
      <c r="C670" s="11"/>
      <c r="D670" s="11"/>
      <c r="E670" s="11"/>
      <c r="F670" s="27"/>
      <c r="G670" s="27"/>
      <c r="H670" s="11"/>
      <c r="I670" s="11"/>
      <c r="J670" s="12"/>
      <c r="K670" s="12"/>
      <c r="L670" s="28" t="str">
        <f aca="false">IF(AND(ISNUMBER(J670),ISNUMBER(K670),N(J670)&gt;0),1-K670/J670,"")</f>
        <v/>
      </c>
      <c r="M670" s="29"/>
      <c r="N670" s="30"/>
      <c r="O670" s="30"/>
      <c r="P670" s="11"/>
      <c r="Q670" s="31"/>
      <c r="R670" s="11"/>
      <c r="S670" s="11"/>
      <c r="T670" s="11"/>
      <c r="U670" s="32" t="str">
        <f aca="false">IF((LEN(A670)+LEN(B670)+LEN(C670)+LEN(D670)+LEN(E670)+LEN(F670)+LEN(G670)+LEN(H670)+LEN(I670)+LEN(J670)+LEN(K670)+LEN(M670)+LEN(N670)+LEN(O670)+LEN(P670)+LEN(Q670)+LEN(R670)+LEN(S670)+LEN(T670))=0,"",IF(OR(A670="",B670="",C670="",D670="",E670="",J670="",K670="",N670=""),"⚠ Champ obligatoire manquant",IF(AND(ISNUMBER(K670),ISNUMBER(J670),N(K670)&gt;N(J670)),"⚠ Prix Autopiec &gt; prix public",IF(COUNTIFS($A$2:$A$1001,A670,$B$2:$B$1001,B670)&gt;1,"⚠ Référence en double","✔ OK"))))</f>
        <v/>
      </c>
    </row>
    <row r="671" customFormat="false" ht="15" hidden="false" customHeight="false" outlineLevel="0" collapsed="false">
      <c r="A671" s="11"/>
      <c r="B671" s="27"/>
      <c r="C671" s="11"/>
      <c r="D671" s="11"/>
      <c r="E671" s="11"/>
      <c r="F671" s="27"/>
      <c r="G671" s="27"/>
      <c r="H671" s="11"/>
      <c r="I671" s="11"/>
      <c r="J671" s="12"/>
      <c r="K671" s="12"/>
      <c r="L671" s="28" t="str">
        <f aca="false">IF(AND(ISNUMBER(J671),ISNUMBER(K671),N(J671)&gt;0),1-K671/J671,"")</f>
        <v/>
      </c>
      <c r="M671" s="29"/>
      <c r="N671" s="30"/>
      <c r="O671" s="30"/>
      <c r="P671" s="11"/>
      <c r="Q671" s="31"/>
      <c r="R671" s="11"/>
      <c r="S671" s="11"/>
      <c r="T671" s="11"/>
      <c r="U671" s="32" t="str">
        <f aca="false">IF((LEN(A671)+LEN(B671)+LEN(C671)+LEN(D671)+LEN(E671)+LEN(F671)+LEN(G671)+LEN(H671)+LEN(I671)+LEN(J671)+LEN(K671)+LEN(M671)+LEN(N671)+LEN(O671)+LEN(P671)+LEN(Q671)+LEN(R671)+LEN(S671)+LEN(T671))=0,"",IF(OR(A671="",B671="",C671="",D671="",E671="",J671="",K671="",N671=""),"⚠ Champ obligatoire manquant",IF(AND(ISNUMBER(K671),ISNUMBER(J671),N(K671)&gt;N(J671)),"⚠ Prix Autopiec &gt; prix public",IF(COUNTIFS($A$2:$A$1001,A671,$B$2:$B$1001,B671)&gt;1,"⚠ Référence en double","✔ OK"))))</f>
        <v/>
      </c>
    </row>
    <row r="672" customFormat="false" ht="15" hidden="false" customHeight="false" outlineLevel="0" collapsed="false">
      <c r="A672" s="11"/>
      <c r="B672" s="27"/>
      <c r="C672" s="11"/>
      <c r="D672" s="11"/>
      <c r="E672" s="11"/>
      <c r="F672" s="27"/>
      <c r="G672" s="27"/>
      <c r="H672" s="11"/>
      <c r="I672" s="11"/>
      <c r="J672" s="12"/>
      <c r="K672" s="12"/>
      <c r="L672" s="28" t="str">
        <f aca="false">IF(AND(ISNUMBER(J672),ISNUMBER(K672),N(J672)&gt;0),1-K672/J672,"")</f>
        <v/>
      </c>
      <c r="M672" s="29"/>
      <c r="N672" s="30"/>
      <c r="O672" s="30"/>
      <c r="P672" s="11"/>
      <c r="Q672" s="31"/>
      <c r="R672" s="11"/>
      <c r="S672" s="11"/>
      <c r="T672" s="11"/>
      <c r="U672" s="32" t="str">
        <f aca="false">IF((LEN(A672)+LEN(B672)+LEN(C672)+LEN(D672)+LEN(E672)+LEN(F672)+LEN(G672)+LEN(H672)+LEN(I672)+LEN(J672)+LEN(K672)+LEN(M672)+LEN(N672)+LEN(O672)+LEN(P672)+LEN(Q672)+LEN(R672)+LEN(S672)+LEN(T672))=0,"",IF(OR(A672="",B672="",C672="",D672="",E672="",J672="",K672="",N672=""),"⚠ Champ obligatoire manquant",IF(AND(ISNUMBER(K672),ISNUMBER(J672),N(K672)&gt;N(J672)),"⚠ Prix Autopiec &gt; prix public",IF(COUNTIFS($A$2:$A$1001,A672,$B$2:$B$1001,B672)&gt;1,"⚠ Référence en double","✔ OK"))))</f>
        <v/>
      </c>
    </row>
    <row r="673" customFormat="false" ht="15" hidden="false" customHeight="false" outlineLevel="0" collapsed="false">
      <c r="A673" s="11"/>
      <c r="B673" s="27"/>
      <c r="C673" s="11"/>
      <c r="D673" s="11"/>
      <c r="E673" s="11"/>
      <c r="F673" s="27"/>
      <c r="G673" s="27"/>
      <c r="H673" s="11"/>
      <c r="I673" s="11"/>
      <c r="J673" s="12"/>
      <c r="K673" s="12"/>
      <c r="L673" s="28" t="str">
        <f aca="false">IF(AND(ISNUMBER(J673),ISNUMBER(K673),N(J673)&gt;0),1-K673/J673,"")</f>
        <v/>
      </c>
      <c r="M673" s="29"/>
      <c r="N673" s="30"/>
      <c r="O673" s="30"/>
      <c r="P673" s="11"/>
      <c r="Q673" s="31"/>
      <c r="R673" s="11"/>
      <c r="S673" s="11"/>
      <c r="T673" s="11"/>
      <c r="U673" s="32" t="str">
        <f aca="false">IF((LEN(A673)+LEN(B673)+LEN(C673)+LEN(D673)+LEN(E673)+LEN(F673)+LEN(G673)+LEN(H673)+LEN(I673)+LEN(J673)+LEN(K673)+LEN(M673)+LEN(N673)+LEN(O673)+LEN(P673)+LEN(Q673)+LEN(R673)+LEN(S673)+LEN(T673))=0,"",IF(OR(A673="",B673="",C673="",D673="",E673="",J673="",K673="",N673=""),"⚠ Champ obligatoire manquant",IF(AND(ISNUMBER(K673),ISNUMBER(J673),N(K673)&gt;N(J673)),"⚠ Prix Autopiec &gt; prix public",IF(COUNTIFS($A$2:$A$1001,A673,$B$2:$B$1001,B673)&gt;1,"⚠ Référence en double","✔ OK"))))</f>
        <v/>
      </c>
    </row>
    <row r="674" customFormat="false" ht="15" hidden="false" customHeight="false" outlineLevel="0" collapsed="false">
      <c r="A674" s="11"/>
      <c r="B674" s="27"/>
      <c r="C674" s="11"/>
      <c r="D674" s="11"/>
      <c r="E674" s="11"/>
      <c r="F674" s="27"/>
      <c r="G674" s="27"/>
      <c r="H674" s="11"/>
      <c r="I674" s="11"/>
      <c r="J674" s="12"/>
      <c r="K674" s="12"/>
      <c r="L674" s="28" t="str">
        <f aca="false">IF(AND(ISNUMBER(J674),ISNUMBER(K674),N(J674)&gt;0),1-K674/J674,"")</f>
        <v/>
      </c>
      <c r="M674" s="29"/>
      <c r="N674" s="30"/>
      <c r="O674" s="30"/>
      <c r="P674" s="11"/>
      <c r="Q674" s="31"/>
      <c r="R674" s="11"/>
      <c r="S674" s="11"/>
      <c r="T674" s="11"/>
      <c r="U674" s="32" t="str">
        <f aca="false">IF((LEN(A674)+LEN(B674)+LEN(C674)+LEN(D674)+LEN(E674)+LEN(F674)+LEN(G674)+LEN(H674)+LEN(I674)+LEN(J674)+LEN(K674)+LEN(M674)+LEN(N674)+LEN(O674)+LEN(P674)+LEN(Q674)+LEN(R674)+LEN(S674)+LEN(T674))=0,"",IF(OR(A674="",B674="",C674="",D674="",E674="",J674="",K674="",N674=""),"⚠ Champ obligatoire manquant",IF(AND(ISNUMBER(K674),ISNUMBER(J674),N(K674)&gt;N(J674)),"⚠ Prix Autopiec &gt; prix public",IF(COUNTIFS($A$2:$A$1001,A674,$B$2:$B$1001,B674)&gt;1,"⚠ Référence en double","✔ OK"))))</f>
        <v/>
      </c>
    </row>
    <row r="675" customFormat="false" ht="15" hidden="false" customHeight="false" outlineLevel="0" collapsed="false">
      <c r="A675" s="11"/>
      <c r="B675" s="27"/>
      <c r="C675" s="11"/>
      <c r="D675" s="11"/>
      <c r="E675" s="11"/>
      <c r="F675" s="27"/>
      <c r="G675" s="27"/>
      <c r="H675" s="11"/>
      <c r="I675" s="11"/>
      <c r="J675" s="12"/>
      <c r="K675" s="12"/>
      <c r="L675" s="28" t="str">
        <f aca="false">IF(AND(ISNUMBER(J675),ISNUMBER(K675),N(J675)&gt;0),1-K675/J675,"")</f>
        <v/>
      </c>
      <c r="M675" s="29"/>
      <c r="N675" s="30"/>
      <c r="O675" s="30"/>
      <c r="P675" s="11"/>
      <c r="Q675" s="31"/>
      <c r="R675" s="11"/>
      <c r="S675" s="11"/>
      <c r="T675" s="11"/>
      <c r="U675" s="32" t="str">
        <f aca="false">IF((LEN(A675)+LEN(B675)+LEN(C675)+LEN(D675)+LEN(E675)+LEN(F675)+LEN(G675)+LEN(H675)+LEN(I675)+LEN(J675)+LEN(K675)+LEN(M675)+LEN(N675)+LEN(O675)+LEN(P675)+LEN(Q675)+LEN(R675)+LEN(S675)+LEN(T675))=0,"",IF(OR(A675="",B675="",C675="",D675="",E675="",J675="",K675="",N675=""),"⚠ Champ obligatoire manquant",IF(AND(ISNUMBER(K675),ISNUMBER(J675),N(K675)&gt;N(J675)),"⚠ Prix Autopiec &gt; prix public",IF(COUNTIFS($A$2:$A$1001,A675,$B$2:$B$1001,B675)&gt;1,"⚠ Référence en double","✔ OK"))))</f>
        <v/>
      </c>
    </row>
    <row r="676" customFormat="false" ht="15" hidden="false" customHeight="false" outlineLevel="0" collapsed="false">
      <c r="A676" s="11"/>
      <c r="B676" s="27"/>
      <c r="C676" s="11"/>
      <c r="D676" s="11"/>
      <c r="E676" s="11"/>
      <c r="F676" s="27"/>
      <c r="G676" s="27"/>
      <c r="H676" s="11"/>
      <c r="I676" s="11"/>
      <c r="J676" s="12"/>
      <c r="K676" s="12"/>
      <c r="L676" s="28" t="str">
        <f aca="false">IF(AND(ISNUMBER(J676),ISNUMBER(K676),N(J676)&gt;0),1-K676/J676,"")</f>
        <v/>
      </c>
      <c r="M676" s="29"/>
      <c r="N676" s="30"/>
      <c r="O676" s="30"/>
      <c r="P676" s="11"/>
      <c r="Q676" s="31"/>
      <c r="R676" s="11"/>
      <c r="S676" s="11"/>
      <c r="T676" s="11"/>
      <c r="U676" s="32" t="str">
        <f aca="false">IF((LEN(A676)+LEN(B676)+LEN(C676)+LEN(D676)+LEN(E676)+LEN(F676)+LEN(G676)+LEN(H676)+LEN(I676)+LEN(J676)+LEN(K676)+LEN(M676)+LEN(N676)+LEN(O676)+LEN(P676)+LEN(Q676)+LEN(R676)+LEN(S676)+LEN(T676))=0,"",IF(OR(A676="",B676="",C676="",D676="",E676="",J676="",K676="",N676=""),"⚠ Champ obligatoire manquant",IF(AND(ISNUMBER(K676),ISNUMBER(J676),N(K676)&gt;N(J676)),"⚠ Prix Autopiec &gt; prix public",IF(COUNTIFS($A$2:$A$1001,A676,$B$2:$B$1001,B676)&gt;1,"⚠ Référence en double","✔ OK"))))</f>
        <v/>
      </c>
    </row>
    <row r="677" customFormat="false" ht="15" hidden="false" customHeight="false" outlineLevel="0" collapsed="false">
      <c r="A677" s="11"/>
      <c r="B677" s="27"/>
      <c r="C677" s="11"/>
      <c r="D677" s="11"/>
      <c r="E677" s="11"/>
      <c r="F677" s="27"/>
      <c r="G677" s="27"/>
      <c r="H677" s="11"/>
      <c r="I677" s="11"/>
      <c r="J677" s="12"/>
      <c r="K677" s="12"/>
      <c r="L677" s="28" t="str">
        <f aca="false">IF(AND(ISNUMBER(J677),ISNUMBER(K677),N(J677)&gt;0),1-K677/J677,"")</f>
        <v/>
      </c>
      <c r="M677" s="29"/>
      <c r="N677" s="30"/>
      <c r="O677" s="30"/>
      <c r="P677" s="11"/>
      <c r="Q677" s="31"/>
      <c r="R677" s="11"/>
      <c r="S677" s="11"/>
      <c r="T677" s="11"/>
      <c r="U677" s="32" t="str">
        <f aca="false">IF((LEN(A677)+LEN(B677)+LEN(C677)+LEN(D677)+LEN(E677)+LEN(F677)+LEN(G677)+LEN(H677)+LEN(I677)+LEN(J677)+LEN(K677)+LEN(M677)+LEN(N677)+LEN(O677)+LEN(P677)+LEN(Q677)+LEN(R677)+LEN(S677)+LEN(T677))=0,"",IF(OR(A677="",B677="",C677="",D677="",E677="",J677="",K677="",N677=""),"⚠ Champ obligatoire manquant",IF(AND(ISNUMBER(K677),ISNUMBER(J677),N(K677)&gt;N(J677)),"⚠ Prix Autopiec &gt; prix public",IF(COUNTIFS($A$2:$A$1001,A677,$B$2:$B$1001,B677)&gt;1,"⚠ Référence en double","✔ OK"))))</f>
        <v/>
      </c>
    </row>
    <row r="678" customFormat="false" ht="15" hidden="false" customHeight="false" outlineLevel="0" collapsed="false">
      <c r="A678" s="11"/>
      <c r="B678" s="27"/>
      <c r="C678" s="11"/>
      <c r="D678" s="11"/>
      <c r="E678" s="11"/>
      <c r="F678" s="27"/>
      <c r="G678" s="27"/>
      <c r="H678" s="11"/>
      <c r="I678" s="11"/>
      <c r="J678" s="12"/>
      <c r="K678" s="12"/>
      <c r="L678" s="28" t="str">
        <f aca="false">IF(AND(ISNUMBER(J678),ISNUMBER(K678),N(J678)&gt;0),1-K678/J678,"")</f>
        <v/>
      </c>
      <c r="M678" s="29"/>
      <c r="N678" s="30"/>
      <c r="O678" s="30"/>
      <c r="P678" s="11"/>
      <c r="Q678" s="31"/>
      <c r="R678" s="11"/>
      <c r="S678" s="11"/>
      <c r="T678" s="11"/>
      <c r="U678" s="32" t="str">
        <f aca="false">IF((LEN(A678)+LEN(B678)+LEN(C678)+LEN(D678)+LEN(E678)+LEN(F678)+LEN(G678)+LEN(H678)+LEN(I678)+LEN(J678)+LEN(K678)+LEN(M678)+LEN(N678)+LEN(O678)+LEN(P678)+LEN(Q678)+LEN(R678)+LEN(S678)+LEN(T678))=0,"",IF(OR(A678="",B678="",C678="",D678="",E678="",J678="",K678="",N678=""),"⚠ Champ obligatoire manquant",IF(AND(ISNUMBER(K678),ISNUMBER(J678),N(K678)&gt;N(J678)),"⚠ Prix Autopiec &gt; prix public",IF(COUNTIFS($A$2:$A$1001,A678,$B$2:$B$1001,B678)&gt;1,"⚠ Référence en double","✔ OK"))))</f>
        <v/>
      </c>
    </row>
    <row r="679" customFormat="false" ht="15" hidden="false" customHeight="false" outlineLevel="0" collapsed="false">
      <c r="A679" s="11"/>
      <c r="B679" s="27"/>
      <c r="C679" s="11"/>
      <c r="D679" s="11"/>
      <c r="E679" s="11"/>
      <c r="F679" s="27"/>
      <c r="G679" s="27"/>
      <c r="H679" s="11"/>
      <c r="I679" s="11"/>
      <c r="J679" s="12"/>
      <c r="K679" s="12"/>
      <c r="L679" s="28" t="str">
        <f aca="false">IF(AND(ISNUMBER(J679),ISNUMBER(K679),N(J679)&gt;0),1-K679/J679,"")</f>
        <v/>
      </c>
      <c r="M679" s="29"/>
      <c r="N679" s="30"/>
      <c r="O679" s="30"/>
      <c r="P679" s="11"/>
      <c r="Q679" s="31"/>
      <c r="R679" s="11"/>
      <c r="S679" s="11"/>
      <c r="T679" s="11"/>
      <c r="U679" s="32" t="str">
        <f aca="false">IF((LEN(A679)+LEN(B679)+LEN(C679)+LEN(D679)+LEN(E679)+LEN(F679)+LEN(G679)+LEN(H679)+LEN(I679)+LEN(J679)+LEN(K679)+LEN(M679)+LEN(N679)+LEN(O679)+LEN(P679)+LEN(Q679)+LEN(R679)+LEN(S679)+LEN(T679))=0,"",IF(OR(A679="",B679="",C679="",D679="",E679="",J679="",K679="",N679=""),"⚠ Champ obligatoire manquant",IF(AND(ISNUMBER(K679),ISNUMBER(J679),N(K679)&gt;N(J679)),"⚠ Prix Autopiec &gt; prix public",IF(COUNTIFS($A$2:$A$1001,A679,$B$2:$B$1001,B679)&gt;1,"⚠ Référence en double","✔ OK"))))</f>
        <v/>
      </c>
    </row>
    <row r="680" customFormat="false" ht="15" hidden="false" customHeight="false" outlineLevel="0" collapsed="false">
      <c r="A680" s="11"/>
      <c r="B680" s="27"/>
      <c r="C680" s="11"/>
      <c r="D680" s="11"/>
      <c r="E680" s="11"/>
      <c r="F680" s="27"/>
      <c r="G680" s="27"/>
      <c r="H680" s="11"/>
      <c r="I680" s="11"/>
      <c r="J680" s="12"/>
      <c r="K680" s="12"/>
      <c r="L680" s="28" t="str">
        <f aca="false">IF(AND(ISNUMBER(J680),ISNUMBER(K680),N(J680)&gt;0),1-K680/J680,"")</f>
        <v/>
      </c>
      <c r="M680" s="29"/>
      <c r="N680" s="30"/>
      <c r="O680" s="30"/>
      <c r="P680" s="11"/>
      <c r="Q680" s="31"/>
      <c r="R680" s="11"/>
      <c r="S680" s="11"/>
      <c r="T680" s="11"/>
      <c r="U680" s="32" t="str">
        <f aca="false">IF((LEN(A680)+LEN(B680)+LEN(C680)+LEN(D680)+LEN(E680)+LEN(F680)+LEN(G680)+LEN(H680)+LEN(I680)+LEN(J680)+LEN(K680)+LEN(M680)+LEN(N680)+LEN(O680)+LEN(P680)+LEN(Q680)+LEN(R680)+LEN(S680)+LEN(T680))=0,"",IF(OR(A680="",B680="",C680="",D680="",E680="",J680="",K680="",N680=""),"⚠ Champ obligatoire manquant",IF(AND(ISNUMBER(K680),ISNUMBER(J680),N(K680)&gt;N(J680)),"⚠ Prix Autopiec &gt; prix public",IF(COUNTIFS($A$2:$A$1001,A680,$B$2:$B$1001,B680)&gt;1,"⚠ Référence en double","✔ OK"))))</f>
        <v/>
      </c>
    </row>
    <row r="681" customFormat="false" ht="15" hidden="false" customHeight="false" outlineLevel="0" collapsed="false">
      <c r="A681" s="11"/>
      <c r="B681" s="27"/>
      <c r="C681" s="11"/>
      <c r="D681" s="11"/>
      <c r="E681" s="11"/>
      <c r="F681" s="27"/>
      <c r="G681" s="27"/>
      <c r="H681" s="11"/>
      <c r="I681" s="11"/>
      <c r="J681" s="12"/>
      <c r="K681" s="12"/>
      <c r="L681" s="28" t="str">
        <f aca="false">IF(AND(ISNUMBER(J681),ISNUMBER(K681),N(J681)&gt;0),1-K681/J681,"")</f>
        <v/>
      </c>
      <c r="M681" s="29"/>
      <c r="N681" s="30"/>
      <c r="O681" s="30"/>
      <c r="P681" s="11"/>
      <c r="Q681" s="31"/>
      <c r="R681" s="11"/>
      <c r="S681" s="11"/>
      <c r="T681" s="11"/>
      <c r="U681" s="32" t="str">
        <f aca="false">IF((LEN(A681)+LEN(B681)+LEN(C681)+LEN(D681)+LEN(E681)+LEN(F681)+LEN(G681)+LEN(H681)+LEN(I681)+LEN(J681)+LEN(K681)+LEN(M681)+LEN(N681)+LEN(O681)+LEN(P681)+LEN(Q681)+LEN(R681)+LEN(S681)+LEN(T681))=0,"",IF(OR(A681="",B681="",C681="",D681="",E681="",J681="",K681="",N681=""),"⚠ Champ obligatoire manquant",IF(AND(ISNUMBER(K681),ISNUMBER(J681),N(K681)&gt;N(J681)),"⚠ Prix Autopiec &gt; prix public",IF(COUNTIFS($A$2:$A$1001,A681,$B$2:$B$1001,B681)&gt;1,"⚠ Référence en double","✔ OK"))))</f>
        <v/>
      </c>
    </row>
    <row r="682" customFormat="false" ht="15" hidden="false" customHeight="false" outlineLevel="0" collapsed="false">
      <c r="A682" s="11"/>
      <c r="B682" s="27"/>
      <c r="C682" s="11"/>
      <c r="D682" s="11"/>
      <c r="E682" s="11"/>
      <c r="F682" s="27"/>
      <c r="G682" s="27"/>
      <c r="H682" s="11"/>
      <c r="I682" s="11"/>
      <c r="J682" s="12"/>
      <c r="K682" s="12"/>
      <c r="L682" s="28" t="str">
        <f aca="false">IF(AND(ISNUMBER(J682),ISNUMBER(K682),N(J682)&gt;0),1-K682/J682,"")</f>
        <v/>
      </c>
      <c r="M682" s="29"/>
      <c r="N682" s="30"/>
      <c r="O682" s="30"/>
      <c r="P682" s="11"/>
      <c r="Q682" s="31"/>
      <c r="R682" s="11"/>
      <c r="S682" s="11"/>
      <c r="T682" s="11"/>
      <c r="U682" s="32" t="str">
        <f aca="false">IF((LEN(A682)+LEN(B682)+LEN(C682)+LEN(D682)+LEN(E682)+LEN(F682)+LEN(G682)+LEN(H682)+LEN(I682)+LEN(J682)+LEN(K682)+LEN(M682)+LEN(N682)+LEN(O682)+LEN(P682)+LEN(Q682)+LEN(R682)+LEN(S682)+LEN(T682))=0,"",IF(OR(A682="",B682="",C682="",D682="",E682="",J682="",K682="",N682=""),"⚠ Champ obligatoire manquant",IF(AND(ISNUMBER(K682),ISNUMBER(J682),N(K682)&gt;N(J682)),"⚠ Prix Autopiec &gt; prix public",IF(COUNTIFS($A$2:$A$1001,A682,$B$2:$B$1001,B682)&gt;1,"⚠ Référence en double","✔ OK"))))</f>
        <v/>
      </c>
    </row>
    <row r="683" customFormat="false" ht="15" hidden="false" customHeight="false" outlineLevel="0" collapsed="false">
      <c r="A683" s="11"/>
      <c r="B683" s="27"/>
      <c r="C683" s="11"/>
      <c r="D683" s="11"/>
      <c r="E683" s="11"/>
      <c r="F683" s="27"/>
      <c r="G683" s="27"/>
      <c r="H683" s="11"/>
      <c r="I683" s="11"/>
      <c r="J683" s="12"/>
      <c r="K683" s="12"/>
      <c r="L683" s="28" t="str">
        <f aca="false">IF(AND(ISNUMBER(J683),ISNUMBER(K683),N(J683)&gt;0),1-K683/J683,"")</f>
        <v/>
      </c>
      <c r="M683" s="29"/>
      <c r="N683" s="30"/>
      <c r="O683" s="30"/>
      <c r="P683" s="11"/>
      <c r="Q683" s="31"/>
      <c r="R683" s="11"/>
      <c r="S683" s="11"/>
      <c r="T683" s="11"/>
      <c r="U683" s="32" t="str">
        <f aca="false">IF((LEN(A683)+LEN(B683)+LEN(C683)+LEN(D683)+LEN(E683)+LEN(F683)+LEN(G683)+LEN(H683)+LEN(I683)+LEN(J683)+LEN(K683)+LEN(M683)+LEN(N683)+LEN(O683)+LEN(P683)+LEN(Q683)+LEN(R683)+LEN(S683)+LEN(T683))=0,"",IF(OR(A683="",B683="",C683="",D683="",E683="",J683="",K683="",N683=""),"⚠ Champ obligatoire manquant",IF(AND(ISNUMBER(K683),ISNUMBER(J683),N(K683)&gt;N(J683)),"⚠ Prix Autopiec &gt; prix public",IF(COUNTIFS($A$2:$A$1001,A683,$B$2:$B$1001,B683)&gt;1,"⚠ Référence en double","✔ OK"))))</f>
        <v/>
      </c>
    </row>
    <row r="684" customFormat="false" ht="15" hidden="false" customHeight="false" outlineLevel="0" collapsed="false">
      <c r="A684" s="11"/>
      <c r="B684" s="27"/>
      <c r="C684" s="11"/>
      <c r="D684" s="11"/>
      <c r="E684" s="11"/>
      <c r="F684" s="27"/>
      <c r="G684" s="27"/>
      <c r="H684" s="11"/>
      <c r="I684" s="11"/>
      <c r="J684" s="12"/>
      <c r="K684" s="12"/>
      <c r="L684" s="28" t="str">
        <f aca="false">IF(AND(ISNUMBER(J684),ISNUMBER(K684),N(J684)&gt;0),1-K684/J684,"")</f>
        <v/>
      </c>
      <c r="M684" s="29"/>
      <c r="N684" s="30"/>
      <c r="O684" s="30"/>
      <c r="P684" s="11"/>
      <c r="Q684" s="31"/>
      <c r="R684" s="11"/>
      <c r="S684" s="11"/>
      <c r="T684" s="11"/>
      <c r="U684" s="32" t="str">
        <f aca="false">IF((LEN(A684)+LEN(B684)+LEN(C684)+LEN(D684)+LEN(E684)+LEN(F684)+LEN(G684)+LEN(H684)+LEN(I684)+LEN(J684)+LEN(K684)+LEN(M684)+LEN(N684)+LEN(O684)+LEN(P684)+LEN(Q684)+LEN(R684)+LEN(S684)+LEN(T684))=0,"",IF(OR(A684="",B684="",C684="",D684="",E684="",J684="",K684="",N684=""),"⚠ Champ obligatoire manquant",IF(AND(ISNUMBER(K684),ISNUMBER(J684),N(K684)&gt;N(J684)),"⚠ Prix Autopiec &gt; prix public",IF(COUNTIFS($A$2:$A$1001,A684,$B$2:$B$1001,B684)&gt;1,"⚠ Référence en double","✔ OK"))))</f>
        <v/>
      </c>
    </row>
    <row r="685" customFormat="false" ht="15" hidden="false" customHeight="false" outlineLevel="0" collapsed="false">
      <c r="A685" s="11"/>
      <c r="B685" s="27"/>
      <c r="C685" s="11"/>
      <c r="D685" s="11"/>
      <c r="E685" s="11"/>
      <c r="F685" s="27"/>
      <c r="G685" s="27"/>
      <c r="H685" s="11"/>
      <c r="I685" s="11"/>
      <c r="J685" s="12"/>
      <c r="K685" s="12"/>
      <c r="L685" s="28" t="str">
        <f aca="false">IF(AND(ISNUMBER(J685),ISNUMBER(K685),N(J685)&gt;0),1-K685/J685,"")</f>
        <v/>
      </c>
      <c r="M685" s="29"/>
      <c r="N685" s="30"/>
      <c r="O685" s="30"/>
      <c r="P685" s="11"/>
      <c r="Q685" s="31"/>
      <c r="R685" s="11"/>
      <c r="S685" s="11"/>
      <c r="T685" s="11"/>
      <c r="U685" s="32" t="str">
        <f aca="false">IF((LEN(A685)+LEN(B685)+LEN(C685)+LEN(D685)+LEN(E685)+LEN(F685)+LEN(G685)+LEN(H685)+LEN(I685)+LEN(J685)+LEN(K685)+LEN(M685)+LEN(N685)+LEN(O685)+LEN(P685)+LEN(Q685)+LEN(R685)+LEN(S685)+LEN(T685))=0,"",IF(OR(A685="",B685="",C685="",D685="",E685="",J685="",K685="",N685=""),"⚠ Champ obligatoire manquant",IF(AND(ISNUMBER(K685),ISNUMBER(J685),N(K685)&gt;N(J685)),"⚠ Prix Autopiec &gt; prix public",IF(COUNTIFS($A$2:$A$1001,A685,$B$2:$B$1001,B685)&gt;1,"⚠ Référence en double","✔ OK"))))</f>
        <v/>
      </c>
    </row>
    <row r="686" customFormat="false" ht="15" hidden="false" customHeight="false" outlineLevel="0" collapsed="false">
      <c r="A686" s="11"/>
      <c r="B686" s="27"/>
      <c r="C686" s="11"/>
      <c r="D686" s="11"/>
      <c r="E686" s="11"/>
      <c r="F686" s="27"/>
      <c r="G686" s="27"/>
      <c r="H686" s="11"/>
      <c r="I686" s="11"/>
      <c r="J686" s="12"/>
      <c r="K686" s="12"/>
      <c r="L686" s="28" t="str">
        <f aca="false">IF(AND(ISNUMBER(J686),ISNUMBER(K686),N(J686)&gt;0),1-K686/J686,"")</f>
        <v/>
      </c>
      <c r="M686" s="29"/>
      <c r="N686" s="30"/>
      <c r="O686" s="30"/>
      <c r="P686" s="11"/>
      <c r="Q686" s="31"/>
      <c r="R686" s="11"/>
      <c r="S686" s="11"/>
      <c r="T686" s="11"/>
      <c r="U686" s="32" t="str">
        <f aca="false">IF((LEN(A686)+LEN(B686)+LEN(C686)+LEN(D686)+LEN(E686)+LEN(F686)+LEN(G686)+LEN(H686)+LEN(I686)+LEN(J686)+LEN(K686)+LEN(M686)+LEN(N686)+LEN(O686)+LEN(P686)+LEN(Q686)+LEN(R686)+LEN(S686)+LEN(T686))=0,"",IF(OR(A686="",B686="",C686="",D686="",E686="",J686="",K686="",N686=""),"⚠ Champ obligatoire manquant",IF(AND(ISNUMBER(K686),ISNUMBER(J686),N(K686)&gt;N(J686)),"⚠ Prix Autopiec &gt; prix public",IF(COUNTIFS($A$2:$A$1001,A686,$B$2:$B$1001,B686)&gt;1,"⚠ Référence en double","✔ OK"))))</f>
        <v/>
      </c>
    </row>
    <row r="687" customFormat="false" ht="15" hidden="false" customHeight="false" outlineLevel="0" collapsed="false">
      <c r="A687" s="11"/>
      <c r="B687" s="27"/>
      <c r="C687" s="11"/>
      <c r="D687" s="11"/>
      <c r="E687" s="11"/>
      <c r="F687" s="27"/>
      <c r="G687" s="27"/>
      <c r="H687" s="11"/>
      <c r="I687" s="11"/>
      <c r="J687" s="12"/>
      <c r="K687" s="12"/>
      <c r="L687" s="28" t="str">
        <f aca="false">IF(AND(ISNUMBER(J687),ISNUMBER(K687),N(J687)&gt;0),1-K687/J687,"")</f>
        <v/>
      </c>
      <c r="M687" s="29"/>
      <c r="N687" s="30"/>
      <c r="O687" s="30"/>
      <c r="P687" s="11"/>
      <c r="Q687" s="31"/>
      <c r="R687" s="11"/>
      <c r="S687" s="11"/>
      <c r="T687" s="11"/>
      <c r="U687" s="32" t="str">
        <f aca="false">IF((LEN(A687)+LEN(B687)+LEN(C687)+LEN(D687)+LEN(E687)+LEN(F687)+LEN(G687)+LEN(H687)+LEN(I687)+LEN(J687)+LEN(K687)+LEN(M687)+LEN(N687)+LEN(O687)+LEN(P687)+LEN(Q687)+LEN(R687)+LEN(S687)+LEN(T687))=0,"",IF(OR(A687="",B687="",C687="",D687="",E687="",J687="",K687="",N687=""),"⚠ Champ obligatoire manquant",IF(AND(ISNUMBER(K687),ISNUMBER(J687),N(K687)&gt;N(J687)),"⚠ Prix Autopiec &gt; prix public",IF(COUNTIFS($A$2:$A$1001,A687,$B$2:$B$1001,B687)&gt;1,"⚠ Référence en double","✔ OK"))))</f>
        <v/>
      </c>
    </row>
    <row r="688" customFormat="false" ht="15" hidden="false" customHeight="false" outlineLevel="0" collapsed="false">
      <c r="A688" s="11"/>
      <c r="B688" s="27"/>
      <c r="C688" s="11"/>
      <c r="D688" s="11"/>
      <c r="E688" s="11"/>
      <c r="F688" s="27"/>
      <c r="G688" s="27"/>
      <c r="H688" s="11"/>
      <c r="I688" s="11"/>
      <c r="J688" s="12"/>
      <c r="K688" s="12"/>
      <c r="L688" s="28" t="str">
        <f aca="false">IF(AND(ISNUMBER(J688),ISNUMBER(K688),N(J688)&gt;0),1-K688/J688,"")</f>
        <v/>
      </c>
      <c r="M688" s="29"/>
      <c r="N688" s="30"/>
      <c r="O688" s="30"/>
      <c r="P688" s="11"/>
      <c r="Q688" s="31"/>
      <c r="R688" s="11"/>
      <c r="S688" s="11"/>
      <c r="T688" s="11"/>
      <c r="U688" s="32" t="str">
        <f aca="false">IF((LEN(A688)+LEN(B688)+LEN(C688)+LEN(D688)+LEN(E688)+LEN(F688)+LEN(G688)+LEN(H688)+LEN(I688)+LEN(J688)+LEN(K688)+LEN(M688)+LEN(N688)+LEN(O688)+LEN(P688)+LEN(Q688)+LEN(R688)+LEN(S688)+LEN(T688))=0,"",IF(OR(A688="",B688="",C688="",D688="",E688="",J688="",K688="",N688=""),"⚠ Champ obligatoire manquant",IF(AND(ISNUMBER(K688),ISNUMBER(J688),N(K688)&gt;N(J688)),"⚠ Prix Autopiec &gt; prix public",IF(COUNTIFS($A$2:$A$1001,A688,$B$2:$B$1001,B688)&gt;1,"⚠ Référence en double","✔ OK"))))</f>
        <v/>
      </c>
    </row>
    <row r="689" customFormat="false" ht="15" hidden="false" customHeight="false" outlineLevel="0" collapsed="false">
      <c r="A689" s="11"/>
      <c r="B689" s="27"/>
      <c r="C689" s="11"/>
      <c r="D689" s="11"/>
      <c r="E689" s="11"/>
      <c r="F689" s="27"/>
      <c r="G689" s="27"/>
      <c r="H689" s="11"/>
      <c r="I689" s="11"/>
      <c r="J689" s="12"/>
      <c r="K689" s="12"/>
      <c r="L689" s="28" t="str">
        <f aca="false">IF(AND(ISNUMBER(J689),ISNUMBER(K689),N(J689)&gt;0),1-K689/J689,"")</f>
        <v/>
      </c>
      <c r="M689" s="29"/>
      <c r="N689" s="30"/>
      <c r="O689" s="30"/>
      <c r="P689" s="11"/>
      <c r="Q689" s="31"/>
      <c r="R689" s="11"/>
      <c r="S689" s="11"/>
      <c r="T689" s="11"/>
      <c r="U689" s="32" t="str">
        <f aca="false">IF((LEN(A689)+LEN(B689)+LEN(C689)+LEN(D689)+LEN(E689)+LEN(F689)+LEN(G689)+LEN(H689)+LEN(I689)+LEN(J689)+LEN(K689)+LEN(M689)+LEN(N689)+LEN(O689)+LEN(P689)+LEN(Q689)+LEN(R689)+LEN(S689)+LEN(T689))=0,"",IF(OR(A689="",B689="",C689="",D689="",E689="",J689="",K689="",N689=""),"⚠ Champ obligatoire manquant",IF(AND(ISNUMBER(K689),ISNUMBER(J689),N(K689)&gt;N(J689)),"⚠ Prix Autopiec &gt; prix public",IF(COUNTIFS($A$2:$A$1001,A689,$B$2:$B$1001,B689)&gt;1,"⚠ Référence en double","✔ OK"))))</f>
        <v/>
      </c>
    </row>
    <row r="690" customFormat="false" ht="15" hidden="false" customHeight="false" outlineLevel="0" collapsed="false">
      <c r="A690" s="11"/>
      <c r="B690" s="27"/>
      <c r="C690" s="11"/>
      <c r="D690" s="11"/>
      <c r="E690" s="11"/>
      <c r="F690" s="27"/>
      <c r="G690" s="27"/>
      <c r="H690" s="11"/>
      <c r="I690" s="11"/>
      <c r="J690" s="12"/>
      <c r="K690" s="12"/>
      <c r="L690" s="28" t="str">
        <f aca="false">IF(AND(ISNUMBER(J690),ISNUMBER(K690),N(J690)&gt;0),1-K690/J690,"")</f>
        <v/>
      </c>
      <c r="M690" s="29"/>
      <c r="N690" s="30"/>
      <c r="O690" s="30"/>
      <c r="P690" s="11"/>
      <c r="Q690" s="31"/>
      <c r="R690" s="11"/>
      <c r="S690" s="11"/>
      <c r="T690" s="11"/>
      <c r="U690" s="32" t="str">
        <f aca="false">IF((LEN(A690)+LEN(B690)+LEN(C690)+LEN(D690)+LEN(E690)+LEN(F690)+LEN(G690)+LEN(H690)+LEN(I690)+LEN(J690)+LEN(K690)+LEN(M690)+LEN(N690)+LEN(O690)+LEN(P690)+LEN(Q690)+LEN(R690)+LEN(S690)+LEN(T690))=0,"",IF(OR(A690="",B690="",C690="",D690="",E690="",J690="",K690="",N690=""),"⚠ Champ obligatoire manquant",IF(AND(ISNUMBER(K690),ISNUMBER(J690),N(K690)&gt;N(J690)),"⚠ Prix Autopiec &gt; prix public",IF(COUNTIFS($A$2:$A$1001,A690,$B$2:$B$1001,B690)&gt;1,"⚠ Référence en double","✔ OK"))))</f>
        <v/>
      </c>
    </row>
    <row r="691" customFormat="false" ht="15" hidden="false" customHeight="false" outlineLevel="0" collapsed="false">
      <c r="A691" s="11"/>
      <c r="B691" s="27"/>
      <c r="C691" s="11"/>
      <c r="D691" s="11"/>
      <c r="E691" s="11"/>
      <c r="F691" s="27"/>
      <c r="G691" s="27"/>
      <c r="H691" s="11"/>
      <c r="I691" s="11"/>
      <c r="J691" s="12"/>
      <c r="K691" s="12"/>
      <c r="L691" s="28" t="str">
        <f aca="false">IF(AND(ISNUMBER(J691),ISNUMBER(K691),N(J691)&gt;0),1-K691/J691,"")</f>
        <v/>
      </c>
      <c r="M691" s="29"/>
      <c r="N691" s="30"/>
      <c r="O691" s="30"/>
      <c r="P691" s="11"/>
      <c r="Q691" s="31"/>
      <c r="R691" s="11"/>
      <c r="S691" s="11"/>
      <c r="T691" s="11"/>
      <c r="U691" s="32" t="str">
        <f aca="false">IF((LEN(A691)+LEN(B691)+LEN(C691)+LEN(D691)+LEN(E691)+LEN(F691)+LEN(G691)+LEN(H691)+LEN(I691)+LEN(J691)+LEN(K691)+LEN(M691)+LEN(N691)+LEN(O691)+LEN(P691)+LEN(Q691)+LEN(R691)+LEN(S691)+LEN(T691))=0,"",IF(OR(A691="",B691="",C691="",D691="",E691="",J691="",K691="",N691=""),"⚠ Champ obligatoire manquant",IF(AND(ISNUMBER(K691),ISNUMBER(J691),N(K691)&gt;N(J691)),"⚠ Prix Autopiec &gt; prix public",IF(COUNTIFS($A$2:$A$1001,A691,$B$2:$B$1001,B691)&gt;1,"⚠ Référence en double","✔ OK"))))</f>
        <v/>
      </c>
    </row>
    <row r="692" customFormat="false" ht="15" hidden="false" customHeight="false" outlineLevel="0" collapsed="false">
      <c r="A692" s="11"/>
      <c r="B692" s="27"/>
      <c r="C692" s="11"/>
      <c r="D692" s="11"/>
      <c r="E692" s="11"/>
      <c r="F692" s="27"/>
      <c r="G692" s="27"/>
      <c r="H692" s="11"/>
      <c r="I692" s="11"/>
      <c r="J692" s="12"/>
      <c r="K692" s="12"/>
      <c r="L692" s="28" t="str">
        <f aca="false">IF(AND(ISNUMBER(J692),ISNUMBER(K692),N(J692)&gt;0),1-K692/J692,"")</f>
        <v/>
      </c>
      <c r="M692" s="29"/>
      <c r="N692" s="30"/>
      <c r="O692" s="30"/>
      <c r="P692" s="11"/>
      <c r="Q692" s="31"/>
      <c r="R692" s="11"/>
      <c r="S692" s="11"/>
      <c r="T692" s="11"/>
      <c r="U692" s="32" t="str">
        <f aca="false">IF((LEN(A692)+LEN(B692)+LEN(C692)+LEN(D692)+LEN(E692)+LEN(F692)+LEN(G692)+LEN(H692)+LEN(I692)+LEN(J692)+LEN(K692)+LEN(M692)+LEN(N692)+LEN(O692)+LEN(P692)+LEN(Q692)+LEN(R692)+LEN(S692)+LEN(T692))=0,"",IF(OR(A692="",B692="",C692="",D692="",E692="",J692="",K692="",N692=""),"⚠ Champ obligatoire manquant",IF(AND(ISNUMBER(K692),ISNUMBER(J692),N(K692)&gt;N(J692)),"⚠ Prix Autopiec &gt; prix public",IF(COUNTIFS($A$2:$A$1001,A692,$B$2:$B$1001,B692)&gt;1,"⚠ Référence en double","✔ OK"))))</f>
        <v/>
      </c>
    </row>
    <row r="693" customFormat="false" ht="15" hidden="false" customHeight="false" outlineLevel="0" collapsed="false">
      <c r="A693" s="11"/>
      <c r="B693" s="27"/>
      <c r="C693" s="11"/>
      <c r="D693" s="11"/>
      <c r="E693" s="11"/>
      <c r="F693" s="27"/>
      <c r="G693" s="27"/>
      <c r="H693" s="11"/>
      <c r="I693" s="11"/>
      <c r="J693" s="12"/>
      <c r="K693" s="12"/>
      <c r="L693" s="28" t="str">
        <f aca="false">IF(AND(ISNUMBER(J693),ISNUMBER(K693),N(J693)&gt;0),1-K693/J693,"")</f>
        <v/>
      </c>
      <c r="M693" s="29"/>
      <c r="N693" s="30"/>
      <c r="O693" s="30"/>
      <c r="P693" s="11"/>
      <c r="Q693" s="31"/>
      <c r="R693" s="11"/>
      <c r="S693" s="11"/>
      <c r="T693" s="11"/>
      <c r="U693" s="32" t="str">
        <f aca="false">IF((LEN(A693)+LEN(B693)+LEN(C693)+LEN(D693)+LEN(E693)+LEN(F693)+LEN(G693)+LEN(H693)+LEN(I693)+LEN(J693)+LEN(K693)+LEN(M693)+LEN(N693)+LEN(O693)+LEN(P693)+LEN(Q693)+LEN(R693)+LEN(S693)+LEN(T693))=0,"",IF(OR(A693="",B693="",C693="",D693="",E693="",J693="",K693="",N693=""),"⚠ Champ obligatoire manquant",IF(AND(ISNUMBER(K693),ISNUMBER(J693),N(K693)&gt;N(J693)),"⚠ Prix Autopiec &gt; prix public",IF(COUNTIFS($A$2:$A$1001,A693,$B$2:$B$1001,B693)&gt;1,"⚠ Référence en double","✔ OK"))))</f>
        <v/>
      </c>
    </row>
    <row r="694" customFormat="false" ht="15" hidden="false" customHeight="false" outlineLevel="0" collapsed="false">
      <c r="A694" s="11"/>
      <c r="B694" s="27"/>
      <c r="C694" s="11"/>
      <c r="D694" s="11"/>
      <c r="E694" s="11"/>
      <c r="F694" s="27"/>
      <c r="G694" s="27"/>
      <c r="H694" s="11"/>
      <c r="I694" s="11"/>
      <c r="J694" s="12"/>
      <c r="K694" s="12"/>
      <c r="L694" s="28" t="str">
        <f aca="false">IF(AND(ISNUMBER(J694),ISNUMBER(K694),N(J694)&gt;0),1-K694/J694,"")</f>
        <v/>
      </c>
      <c r="M694" s="29"/>
      <c r="N694" s="30"/>
      <c r="O694" s="30"/>
      <c r="P694" s="11"/>
      <c r="Q694" s="31"/>
      <c r="R694" s="11"/>
      <c r="S694" s="11"/>
      <c r="T694" s="11"/>
      <c r="U694" s="32" t="str">
        <f aca="false">IF((LEN(A694)+LEN(B694)+LEN(C694)+LEN(D694)+LEN(E694)+LEN(F694)+LEN(G694)+LEN(H694)+LEN(I694)+LEN(J694)+LEN(K694)+LEN(M694)+LEN(N694)+LEN(O694)+LEN(P694)+LEN(Q694)+LEN(R694)+LEN(S694)+LEN(T694))=0,"",IF(OR(A694="",B694="",C694="",D694="",E694="",J694="",K694="",N694=""),"⚠ Champ obligatoire manquant",IF(AND(ISNUMBER(K694),ISNUMBER(J694),N(K694)&gt;N(J694)),"⚠ Prix Autopiec &gt; prix public",IF(COUNTIFS($A$2:$A$1001,A694,$B$2:$B$1001,B694)&gt;1,"⚠ Référence en double","✔ OK"))))</f>
        <v/>
      </c>
    </row>
    <row r="695" customFormat="false" ht="15" hidden="false" customHeight="false" outlineLevel="0" collapsed="false">
      <c r="A695" s="11"/>
      <c r="B695" s="27"/>
      <c r="C695" s="11"/>
      <c r="D695" s="11"/>
      <c r="E695" s="11"/>
      <c r="F695" s="27"/>
      <c r="G695" s="27"/>
      <c r="H695" s="11"/>
      <c r="I695" s="11"/>
      <c r="J695" s="12"/>
      <c r="K695" s="12"/>
      <c r="L695" s="28" t="str">
        <f aca="false">IF(AND(ISNUMBER(J695),ISNUMBER(K695),N(J695)&gt;0),1-K695/J695,"")</f>
        <v/>
      </c>
      <c r="M695" s="29"/>
      <c r="N695" s="30"/>
      <c r="O695" s="30"/>
      <c r="P695" s="11"/>
      <c r="Q695" s="31"/>
      <c r="R695" s="11"/>
      <c r="S695" s="11"/>
      <c r="T695" s="11"/>
      <c r="U695" s="32" t="str">
        <f aca="false">IF((LEN(A695)+LEN(B695)+LEN(C695)+LEN(D695)+LEN(E695)+LEN(F695)+LEN(G695)+LEN(H695)+LEN(I695)+LEN(J695)+LEN(K695)+LEN(M695)+LEN(N695)+LEN(O695)+LEN(P695)+LEN(Q695)+LEN(R695)+LEN(S695)+LEN(T695))=0,"",IF(OR(A695="",B695="",C695="",D695="",E695="",J695="",K695="",N695=""),"⚠ Champ obligatoire manquant",IF(AND(ISNUMBER(K695),ISNUMBER(J695),N(K695)&gt;N(J695)),"⚠ Prix Autopiec &gt; prix public",IF(COUNTIFS($A$2:$A$1001,A695,$B$2:$B$1001,B695)&gt;1,"⚠ Référence en double","✔ OK"))))</f>
        <v/>
      </c>
    </row>
    <row r="696" customFormat="false" ht="15" hidden="false" customHeight="false" outlineLevel="0" collapsed="false">
      <c r="A696" s="11"/>
      <c r="B696" s="27"/>
      <c r="C696" s="11"/>
      <c r="D696" s="11"/>
      <c r="E696" s="11"/>
      <c r="F696" s="27"/>
      <c r="G696" s="27"/>
      <c r="H696" s="11"/>
      <c r="I696" s="11"/>
      <c r="J696" s="12"/>
      <c r="K696" s="12"/>
      <c r="L696" s="28" t="str">
        <f aca="false">IF(AND(ISNUMBER(J696),ISNUMBER(K696),N(J696)&gt;0),1-K696/J696,"")</f>
        <v/>
      </c>
      <c r="M696" s="29"/>
      <c r="N696" s="30"/>
      <c r="O696" s="30"/>
      <c r="P696" s="11"/>
      <c r="Q696" s="31"/>
      <c r="R696" s="11"/>
      <c r="S696" s="11"/>
      <c r="T696" s="11"/>
      <c r="U696" s="32" t="str">
        <f aca="false">IF((LEN(A696)+LEN(B696)+LEN(C696)+LEN(D696)+LEN(E696)+LEN(F696)+LEN(G696)+LEN(H696)+LEN(I696)+LEN(J696)+LEN(K696)+LEN(M696)+LEN(N696)+LEN(O696)+LEN(P696)+LEN(Q696)+LEN(R696)+LEN(S696)+LEN(T696))=0,"",IF(OR(A696="",B696="",C696="",D696="",E696="",J696="",K696="",N696=""),"⚠ Champ obligatoire manquant",IF(AND(ISNUMBER(K696),ISNUMBER(J696),N(K696)&gt;N(J696)),"⚠ Prix Autopiec &gt; prix public",IF(COUNTIFS($A$2:$A$1001,A696,$B$2:$B$1001,B696)&gt;1,"⚠ Référence en double","✔ OK"))))</f>
        <v/>
      </c>
    </row>
    <row r="697" customFormat="false" ht="15" hidden="false" customHeight="false" outlineLevel="0" collapsed="false">
      <c r="A697" s="11"/>
      <c r="B697" s="27"/>
      <c r="C697" s="11"/>
      <c r="D697" s="11"/>
      <c r="E697" s="11"/>
      <c r="F697" s="27"/>
      <c r="G697" s="27"/>
      <c r="H697" s="11"/>
      <c r="I697" s="11"/>
      <c r="J697" s="12"/>
      <c r="K697" s="12"/>
      <c r="L697" s="28" t="str">
        <f aca="false">IF(AND(ISNUMBER(J697),ISNUMBER(K697),N(J697)&gt;0),1-K697/J697,"")</f>
        <v/>
      </c>
      <c r="M697" s="29"/>
      <c r="N697" s="30"/>
      <c r="O697" s="30"/>
      <c r="P697" s="11"/>
      <c r="Q697" s="31"/>
      <c r="R697" s="11"/>
      <c r="S697" s="11"/>
      <c r="T697" s="11"/>
      <c r="U697" s="32" t="str">
        <f aca="false">IF((LEN(A697)+LEN(B697)+LEN(C697)+LEN(D697)+LEN(E697)+LEN(F697)+LEN(G697)+LEN(H697)+LEN(I697)+LEN(J697)+LEN(K697)+LEN(M697)+LEN(N697)+LEN(O697)+LEN(P697)+LEN(Q697)+LEN(R697)+LEN(S697)+LEN(T697))=0,"",IF(OR(A697="",B697="",C697="",D697="",E697="",J697="",K697="",N697=""),"⚠ Champ obligatoire manquant",IF(AND(ISNUMBER(K697),ISNUMBER(J697),N(K697)&gt;N(J697)),"⚠ Prix Autopiec &gt; prix public",IF(COUNTIFS($A$2:$A$1001,A697,$B$2:$B$1001,B697)&gt;1,"⚠ Référence en double","✔ OK"))))</f>
        <v/>
      </c>
    </row>
    <row r="698" customFormat="false" ht="15" hidden="false" customHeight="false" outlineLevel="0" collapsed="false">
      <c r="A698" s="11"/>
      <c r="B698" s="27"/>
      <c r="C698" s="11"/>
      <c r="D698" s="11"/>
      <c r="E698" s="11"/>
      <c r="F698" s="27"/>
      <c r="G698" s="27"/>
      <c r="H698" s="11"/>
      <c r="I698" s="11"/>
      <c r="J698" s="12"/>
      <c r="K698" s="12"/>
      <c r="L698" s="28" t="str">
        <f aca="false">IF(AND(ISNUMBER(J698),ISNUMBER(K698),N(J698)&gt;0),1-K698/J698,"")</f>
        <v/>
      </c>
      <c r="M698" s="29"/>
      <c r="N698" s="30"/>
      <c r="O698" s="30"/>
      <c r="P698" s="11"/>
      <c r="Q698" s="31"/>
      <c r="R698" s="11"/>
      <c r="S698" s="11"/>
      <c r="T698" s="11"/>
      <c r="U698" s="32" t="str">
        <f aca="false">IF((LEN(A698)+LEN(B698)+LEN(C698)+LEN(D698)+LEN(E698)+LEN(F698)+LEN(G698)+LEN(H698)+LEN(I698)+LEN(J698)+LEN(K698)+LEN(M698)+LEN(N698)+LEN(O698)+LEN(P698)+LEN(Q698)+LEN(R698)+LEN(S698)+LEN(T698))=0,"",IF(OR(A698="",B698="",C698="",D698="",E698="",J698="",K698="",N698=""),"⚠ Champ obligatoire manquant",IF(AND(ISNUMBER(K698),ISNUMBER(J698),N(K698)&gt;N(J698)),"⚠ Prix Autopiec &gt; prix public",IF(COUNTIFS($A$2:$A$1001,A698,$B$2:$B$1001,B698)&gt;1,"⚠ Référence en double","✔ OK"))))</f>
        <v/>
      </c>
    </row>
    <row r="699" customFormat="false" ht="15" hidden="false" customHeight="false" outlineLevel="0" collapsed="false">
      <c r="A699" s="11"/>
      <c r="B699" s="27"/>
      <c r="C699" s="11"/>
      <c r="D699" s="11"/>
      <c r="E699" s="11"/>
      <c r="F699" s="27"/>
      <c r="G699" s="27"/>
      <c r="H699" s="11"/>
      <c r="I699" s="11"/>
      <c r="J699" s="12"/>
      <c r="K699" s="12"/>
      <c r="L699" s="28" t="str">
        <f aca="false">IF(AND(ISNUMBER(J699),ISNUMBER(K699),N(J699)&gt;0),1-K699/J699,"")</f>
        <v/>
      </c>
      <c r="M699" s="29"/>
      <c r="N699" s="30"/>
      <c r="O699" s="30"/>
      <c r="P699" s="11"/>
      <c r="Q699" s="31"/>
      <c r="R699" s="11"/>
      <c r="S699" s="11"/>
      <c r="T699" s="11"/>
      <c r="U699" s="32" t="str">
        <f aca="false">IF((LEN(A699)+LEN(B699)+LEN(C699)+LEN(D699)+LEN(E699)+LEN(F699)+LEN(G699)+LEN(H699)+LEN(I699)+LEN(J699)+LEN(K699)+LEN(M699)+LEN(N699)+LEN(O699)+LEN(P699)+LEN(Q699)+LEN(R699)+LEN(S699)+LEN(T699))=0,"",IF(OR(A699="",B699="",C699="",D699="",E699="",J699="",K699="",N699=""),"⚠ Champ obligatoire manquant",IF(AND(ISNUMBER(K699),ISNUMBER(J699),N(K699)&gt;N(J699)),"⚠ Prix Autopiec &gt; prix public",IF(COUNTIFS($A$2:$A$1001,A699,$B$2:$B$1001,B699)&gt;1,"⚠ Référence en double","✔ OK"))))</f>
        <v/>
      </c>
    </row>
    <row r="700" customFormat="false" ht="15" hidden="false" customHeight="false" outlineLevel="0" collapsed="false">
      <c r="A700" s="11"/>
      <c r="B700" s="27"/>
      <c r="C700" s="11"/>
      <c r="D700" s="11"/>
      <c r="E700" s="11"/>
      <c r="F700" s="27"/>
      <c r="G700" s="27"/>
      <c r="H700" s="11"/>
      <c r="I700" s="11"/>
      <c r="J700" s="12"/>
      <c r="K700" s="12"/>
      <c r="L700" s="28" t="str">
        <f aca="false">IF(AND(ISNUMBER(J700),ISNUMBER(K700),N(J700)&gt;0),1-K700/J700,"")</f>
        <v/>
      </c>
      <c r="M700" s="29"/>
      <c r="N700" s="30"/>
      <c r="O700" s="30"/>
      <c r="P700" s="11"/>
      <c r="Q700" s="31"/>
      <c r="R700" s="11"/>
      <c r="S700" s="11"/>
      <c r="T700" s="11"/>
      <c r="U700" s="32" t="str">
        <f aca="false">IF((LEN(A700)+LEN(B700)+LEN(C700)+LEN(D700)+LEN(E700)+LEN(F700)+LEN(G700)+LEN(H700)+LEN(I700)+LEN(J700)+LEN(K700)+LEN(M700)+LEN(N700)+LEN(O700)+LEN(P700)+LEN(Q700)+LEN(R700)+LEN(S700)+LEN(T700))=0,"",IF(OR(A700="",B700="",C700="",D700="",E700="",J700="",K700="",N700=""),"⚠ Champ obligatoire manquant",IF(AND(ISNUMBER(K700),ISNUMBER(J700),N(K700)&gt;N(J700)),"⚠ Prix Autopiec &gt; prix public",IF(COUNTIFS($A$2:$A$1001,A700,$B$2:$B$1001,B700)&gt;1,"⚠ Référence en double","✔ OK"))))</f>
        <v/>
      </c>
    </row>
    <row r="701" customFormat="false" ht="15" hidden="false" customHeight="false" outlineLevel="0" collapsed="false">
      <c r="A701" s="11"/>
      <c r="B701" s="27"/>
      <c r="C701" s="11"/>
      <c r="D701" s="11"/>
      <c r="E701" s="11"/>
      <c r="F701" s="27"/>
      <c r="G701" s="27"/>
      <c r="H701" s="11"/>
      <c r="I701" s="11"/>
      <c r="J701" s="12"/>
      <c r="K701" s="12"/>
      <c r="L701" s="28" t="str">
        <f aca="false">IF(AND(ISNUMBER(J701),ISNUMBER(K701),N(J701)&gt;0),1-K701/J701,"")</f>
        <v/>
      </c>
      <c r="M701" s="29"/>
      <c r="N701" s="30"/>
      <c r="O701" s="30"/>
      <c r="P701" s="11"/>
      <c r="Q701" s="31"/>
      <c r="R701" s="11"/>
      <c r="S701" s="11"/>
      <c r="T701" s="11"/>
      <c r="U701" s="32" t="str">
        <f aca="false">IF((LEN(A701)+LEN(B701)+LEN(C701)+LEN(D701)+LEN(E701)+LEN(F701)+LEN(G701)+LEN(H701)+LEN(I701)+LEN(J701)+LEN(K701)+LEN(M701)+LEN(N701)+LEN(O701)+LEN(P701)+LEN(Q701)+LEN(R701)+LEN(S701)+LEN(T701))=0,"",IF(OR(A701="",B701="",C701="",D701="",E701="",J701="",K701="",N701=""),"⚠ Champ obligatoire manquant",IF(AND(ISNUMBER(K701),ISNUMBER(J701),N(K701)&gt;N(J701)),"⚠ Prix Autopiec &gt; prix public",IF(COUNTIFS($A$2:$A$1001,A701,$B$2:$B$1001,B701)&gt;1,"⚠ Référence en double","✔ OK"))))</f>
        <v/>
      </c>
    </row>
    <row r="702" customFormat="false" ht="15" hidden="false" customHeight="false" outlineLevel="0" collapsed="false">
      <c r="A702" s="11"/>
      <c r="B702" s="27"/>
      <c r="C702" s="11"/>
      <c r="D702" s="11"/>
      <c r="E702" s="11"/>
      <c r="F702" s="27"/>
      <c r="G702" s="27"/>
      <c r="H702" s="11"/>
      <c r="I702" s="11"/>
      <c r="J702" s="12"/>
      <c r="K702" s="12"/>
      <c r="L702" s="28" t="str">
        <f aca="false">IF(AND(ISNUMBER(J702),ISNUMBER(K702),N(J702)&gt;0),1-K702/J702,"")</f>
        <v/>
      </c>
      <c r="M702" s="29"/>
      <c r="N702" s="30"/>
      <c r="O702" s="30"/>
      <c r="P702" s="11"/>
      <c r="Q702" s="31"/>
      <c r="R702" s="11"/>
      <c r="S702" s="11"/>
      <c r="T702" s="11"/>
      <c r="U702" s="32" t="str">
        <f aca="false">IF((LEN(A702)+LEN(B702)+LEN(C702)+LEN(D702)+LEN(E702)+LEN(F702)+LEN(G702)+LEN(H702)+LEN(I702)+LEN(J702)+LEN(K702)+LEN(M702)+LEN(N702)+LEN(O702)+LEN(P702)+LEN(Q702)+LEN(R702)+LEN(S702)+LEN(T702))=0,"",IF(OR(A702="",B702="",C702="",D702="",E702="",J702="",K702="",N702=""),"⚠ Champ obligatoire manquant",IF(AND(ISNUMBER(K702),ISNUMBER(J702),N(K702)&gt;N(J702)),"⚠ Prix Autopiec &gt; prix public",IF(COUNTIFS($A$2:$A$1001,A702,$B$2:$B$1001,B702)&gt;1,"⚠ Référence en double","✔ OK"))))</f>
        <v/>
      </c>
    </row>
    <row r="703" customFormat="false" ht="15" hidden="false" customHeight="false" outlineLevel="0" collapsed="false">
      <c r="A703" s="11"/>
      <c r="B703" s="27"/>
      <c r="C703" s="11"/>
      <c r="D703" s="11"/>
      <c r="E703" s="11"/>
      <c r="F703" s="27"/>
      <c r="G703" s="27"/>
      <c r="H703" s="11"/>
      <c r="I703" s="11"/>
      <c r="J703" s="12"/>
      <c r="K703" s="12"/>
      <c r="L703" s="28" t="str">
        <f aca="false">IF(AND(ISNUMBER(J703),ISNUMBER(K703),N(J703)&gt;0),1-K703/J703,"")</f>
        <v/>
      </c>
      <c r="M703" s="29"/>
      <c r="N703" s="30"/>
      <c r="O703" s="30"/>
      <c r="P703" s="11"/>
      <c r="Q703" s="31"/>
      <c r="R703" s="11"/>
      <c r="S703" s="11"/>
      <c r="T703" s="11"/>
      <c r="U703" s="32" t="str">
        <f aca="false">IF((LEN(A703)+LEN(B703)+LEN(C703)+LEN(D703)+LEN(E703)+LEN(F703)+LEN(G703)+LEN(H703)+LEN(I703)+LEN(J703)+LEN(K703)+LEN(M703)+LEN(N703)+LEN(O703)+LEN(P703)+LEN(Q703)+LEN(R703)+LEN(S703)+LEN(T703))=0,"",IF(OR(A703="",B703="",C703="",D703="",E703="",J703="",K703="",N703=""),"⚠ Champ obligatoire manquant",IF(AND(ISNUMBER(K703),ISNUMBER(J703),N(K703)&gt;N(J703)),"⚠ Prix Autopiec &gt; prix public",IF(COUNTIFS($A$2:$A$1001,A703,$B$2:$B$1001,B703)&gt;1,"⚠ Référence en double","✔ OK"))))</f>
        <v/>
      </c>
    </row>
    <row r="704" customFormat="false" ht="15" hidden="false" customHeight="false" outlineLevel="0" collapsed="false">
      <c r="A704" s="11"/>
      <c r="B704" s="27"/>
      <c r="C704" s="11"/>
      <c r="D704" s="11"/>
      <c r="E704" s="11"/>
      <c r="F704" s="27"/>
      <c r="G704" s="27"/>
      <c r="H704" s="11"/>
      <c r="I704" s="11"/>
      <c r="J704" s="12"/>
      <c r="K704" s="12"/>
      <c r="L704" s="28" t="str">
        <f aca="false">IF(AND(ISNUMBER(J704),ISNUMBER(K704),N(J704)&gt;0),1-K704/J704,"")</f>
        <v/>
      </c>
      <c r="M704" s="29"/>
      <c r="N704" s="30"/>
      <c r="O704" s="30"/>
      <c r="P704" s="11"/>
      <c r="Q704" s="31"/>
      <c r="R704" s="11"/>
      <c r="S704" s="11"/>
      <c r="T704" s="11"/>
      <c r="U704" s="32" t="str">
        <f aca="false">IF((LEN(A704)+LEN(B704)+LEN(C704)+LEN(D704)+LEN(E704)+LEN(F704)+LEN(G704)+LEN(H704)+LEN(I704)+LEN(J704)+LEN(K704)+LEN(M704)+LEN(N704)+LEN(O704)+LEN(P704)+LEN(Q704)+LEN(R704)+LEN(S704)+LEN(T704))=0,"",IF(OR(A704="",B704="",C704="",D704="",E704="",J704="",K704="",N704=""),"⚠ Champ obligatoire manquant",IF(AND(ISNUMBER(K704),ISNUMBER(J704),N(K704)&gt;N(J704)),"⚠ Prix Autopiec &gt; prix public",IF(COUNTIFS($A$2:$A$1001,A704,$B$2:$B$1001,B704)&gt;1,"⚠ Référence en double","✔ OK"))))</f>
        <v/>
      </c>
    </row>
    <row r="705" customFormat="false" ht="15" hidden="false" customHeight="false" outlineLevel="0" collapsed="false">
      <c r="A705" s="11"/>
      <c r="B705" s="27"/>
      <c r="C705" s="11"/>
      <c r="D705" s="11"/>
      <c r="E705" s="11"/>
      <c r="F705" s="27"/>
      <c r="G705" s="27"/>
      <c r="H705" s="11"/>
      <c r="I705" s="11"/>
      <c r="J705" s="12"/>
      <c r="K705" s="12"/>
      <c r="L705" s="28" t="str">
        <f aca="false">IF(AND(ISNUMBER(J705),ISNUMBER(K705),N(J705)&gt;0),1-K705/J705,"")</f>
        <v/>
      </c>
      <c r="M705" s="29"/>
      <c r="N705" s="30"/>
      <c r="O705" s="30"/>
      <c r="P705" s="11"/>
      <c r="Q705" s="31"/>
      <c r="R705" s="11"/>
      <c r="S705" s="11"/>
      <c r="T705" s="11"/>
      <c r="U705" s="32" t="str">
        <f aca="false">IF((LEN(A705)+LEN(B705)+LEN(C705)+LEN(D705)+LEN(E705)+LEN(F705)+LEN(G705)+LEN(H705)+LEN(I705)+LEN(J705)+LEN(K705)+LEN(M705)+LEN(N705)+LEN(O705)+LEN(P705)+LEN(Q705)+LEN(R705)+LEN(S705)+LEN(T705))=0,"",IF(OR(A705="",B705="",C705="",D705="",E705="",J705="",K705="",N705=""),"⚠ Champ obligatoire manquant",IF(AND(ISNUMBER(K705),ISNUMBER(J705),N(K705)&gt;N(J705)),"⚠ Prix Autopiec &gt; prix public",IF(COUNTIFS($A$2:$A$1001,A705,$B$2:$B$1001,B705)&gt;1,"⚠ Référence en double","✔ OK"))))</f>
        <v/>
      </c>
    </row>
    <row r="706" customFormat="false" ht="15" hidden="false" customHeight="false" outlineLevel="0" collapsed="false">
      <c r="A706" s="11"/>
      <c r="B706" s="27"/>
      <c r="C706" s="11"/>
      <c r="D706" s="11"/>
      <c r="E706" s="11"/>
      <c r="F706" s="27"/>
      <c r="G706" s="27"/>
      <c r="H706" s="11"/>
      <c r="I706" s="11"/>
      <c r="J706" s="12"/>
      <c r="K706" s="12"/>
      <c r="L706" s="28" t="str">
        <f aca="false">IF(AND(ISNUMBER(J706),ISNUMBER(K706),N(J706)&gt;0),1-K706/J706,"")</f>
        <v/>
      </c>
      <c r="M706" s="29"/>
      <c r="N706" s="30"/>
      <c r="O706" s="30"/>
      <c r="P706" s="11"/>
      <c r="Q706" s="31"/>
      <c r="R706" s="11"/>
      <c r="S706" s="11"/>
      <c r="T706" s="11"/>
      <c r="U706" s="32" t="str">
        <f aca="false">IF((LEN(A706)+LEN(B706)+LEN(C706)+LEN(D706)+LEN(E706)+LEN(F706)+LEN(G706)+LEN(H706)+LEN(I706)+LEN(J706)+LEN(K706)+LEN(M706)+LEN(N706)+LEN(O706)+LEN(P706)+LEN(Q706)+LEN(R706)+LEN(S706)+LEN(T706))=0,"",IF(OR(A706="",B706="",C706="",D706="",E706="",J706="",K706="",N706=""),"⚠ Champ obligatoire manquant",IF(AND(ISNUMBER(K706),ISNUMBER(J706),N(K706)&gt;N(J706)),"⚠ Prix Autopiec &gt; prix public",IF(COUNTIFS($A$2:$A$1001,A706,$B$2:$B$1001,B706)&gt;1,"⚠ Référence en double","✔ OK"))))</f>
        <v/>
      </c>
    </row>
    <row r="707" customFormat="false" ht="15" hidden="false" customHeight="false" outlineLevel="0" collapsed="false">
      <c r="A707" s="11"/>
      <c r="B707" s="27"/>
      <c r="C707" s="11"/>
      <c r="D707" s="11"/>
      <c r="E707" s="11"/>
      <c r="F707" s="27"/>
      <c r="G707" s="27"/>
      <c r="H707" s="11"/>
      <c r="I707" s="11"/>
      <c r="J707" s="12"/>
      <c r="K707" s="12"/>
      <c r="L707" s="28" t="str">
        <f aca="false">IF(AND(ISNUMBER(J707),ISNUMBER(K707),N(J707)&gt;0),1-K707/J707,"")</f>
        <v/>
      </c>
      <c r="M707" s="29"/>
      <c r="N707" s="30"/>
      <c r="O707" s="30"/>
      <c r="P707" s="11"/>
      <c r="Q707" s="31"/>
      <c r="R707" s="11"/>
      <c r="S707" s="11"/>
      <c r="T707" s="11"/>
      <c r="U707" s="32" t="str">
        <f aca="false">IF((LEN(A707)+LEN(B707)+LEN(C707)+LEN(D707)+LEN(E707)+LEN(F707)+LEN(G707)+LEN(H707)+LEN(I707)+LEN(J707)+LEN(K707)+LEN(M707)+LEN(N707)+LEN(O707)+LEN(P707)+LEN(Q707)+LEN(R707)+LEN(S707)+LEN(T707))=0,"",IF(OR(A707="",B707="",C707="",D707="",E707="",J707="",K707="",N707=""),"⚠ Champ obligatoire manquant",IF(AND(ISNUMBER(K707),ISNUMBER(J707),N(K707)&gt;N(J707)),"⚠ Prix Autopiec &gt; prix public",IF(COUNTIFS($A$2:$A$1001,A707,$B$2:$B$1001,B707)&gt;1,"⚠ Référence en double","✔ OK"))))</f>
        <v/>
      </c>
    </row>
    <row r="708" customFormat="false" ht="15" hidden="false" customHeight="false" outlineLevel="0" collapsed="false">
      <c r="A708" s="11"/>
      <c r="B708" s="27"/>
      <c r="C708" s="11"/>
      <c r="D708" s="11"/>
      <c r="E708" s="11"/>
      <c r="F708" s="27"/>
      <c r="G708" s="27"/>
      <c r="H708" s="11"/>
      <c r="I708" s="11"/>
      <c r="J708" s="12"/>
      <c r="K708" s="12"/>
      <c r="L708" s="28" t="str">
        <f aca="false">IF(AND(ISNUMBER(J708),ISNUMBER(K708),N(J708)&gt;0),1-K708/J708,"")</f>
        <v/>
      </c>
      <c r="M708" s="29"/>
      <c r="N708" s="30"/>
      <c r="O708" s="30"/>
      <c r="P708" s="11"/>
      <c r="Q708" s="31"/>
      <c r="R708" s="11"/>
      <c r="S708" s="11"/>
      <c r="T708" s="11"/>
      <c r="U708" s="32" t="str">
        <f aca="false">IF((LEN(A708)+LEN(B708)+LEN(C708)+LEN(D708)+LEN(E708)+LEN(F708)+LEN(G708)+LEN(H708)+LEN(I708)+LEN(J708)+LEN(K708)+LEN(M708)+LEN(N708)+LEN(O708)+LEN(P708)+LEN(Q708)+LEN(R708)+LEN(S708)+LEN(T708))=0,"",IF(OR(A708="",B708="",C708="",D708="",E708="",J708="",K708="",N708=""),"⚠ Champ obligatoire manquant",IF(AND(ISNUMBER(K708),ISNUMBER(J708),N(K708)&gt;N(J708)),"⚠ Prix Autopiec &gt; prix public",IF(COUNTIFS($A$2:$A$1001,A708,$B$2:$B$1001,B708)&gt;1,"⚠ Référence en double","✔ OK"))))</f>
        <v/>
      </c>
    </row>
    <row r="709" customFormat="false" ht="15" hidden="false" customHeight="false" outlineLevel="0" collapsed="false">
      <c r="A709" s="11"/>
      <c r="B709" s="27"/>
      <c r="C709" s="11"/>
      <c r="D709" s="11"/>
      <c r="E709" s="11"/>
      <c r="F709" s="27"/>
      <c r="G709" s="27"/>
      <c r="H709" s="11"/>
      <c r="I709" s="11"/>
      <c r="J709" s="12"/>
      <c r="K709" s="12"/>
      <c r="L709" s="28" t="str">
        <f aca="false">IF(AND(ISNUMBER(J709),ISNUMBER(K709),N(J709)&gt;0),1-K709/J709,"")</f>
        <v/>
      </c>
      <c r="M709" s="29"/>
      <c r="N709" s="30"/>
      <c r="O709" s="30"/>
      <c r="P709" s="11"/>
      <c r="Q709" s="31"/>
      <c r="R709" s="11"/>
      <c r="S709" s="11"/>
      <c r="T709" s="11"/>
      <c r="U709" s="32" t="str">
        <f aca="false">IF((LEN(A709)+LEN(B709)+LEN(C709)+LEN(D709)+LEN(E709)+LEN(F709)+LEN(G709)+LEN(H709)+LEN(I709)+LEN(J709)+LEN(K709)+LEN(M709)+LEN(N709)+LEN(O709)+LEN(P709)+LEN(Q709)+LEN(R709)+LEN(S709)+LEN(T709))=0,"",IF(OR(A709="",B709="",C709="",D709="",E709="",J709="",K709="",N709=""),"⚠ Champ obligatoire manquant",IF(AND(ISNUMBER(K709),ISNUMBER(J709),N(K709)&gt;N(J709)),"⚠ Prix Autopiec &gt; prix public",IF(COUNTIFS($A$2:$A$1001,A709,$B$2:$B$1001,B709)&gt;1,"⚠ Référence en double","✔ OK"))))</f>
        <v/>
      </c>
    </row>
    <row r="710" customFormat="false" ht="15" hidden="false" customHeight="false" outlineLevel="0" collapsed="false">
      <c r="A710" s="11"/>
      <c r="B710" s="27"/>
      <c r="C710" s="11"/>
      <c r="D710" s="11"/>
      <c r="E710" s="11"/>
      <c r="F710" s="27"/>
      <c r="G710" s="27"/>
      <c r="H710" s="11"/>
      <c r="I710" s="11"/>
      <c r="J710" s="12"/>
      <c r="K710" s="12"/>
      <c r="L710" s="28" t="str">
        <f aca="false">IF(AND(ISNUMBER(J710),ISNUMBER(K710),N(J710)&gt;0),1-K710/J710,"")</f>
        <v/>
      </c>
      <c r="M710" s="29"/>
      <c r="N710" s="30"/>
      <c r="O710" s="30"/>
      <c r="P710" s="11"/>
      <c r="Q710" s="31"/>
      <c r="R710" s="11"/>
      <c r="S710" s="11"/>
      <c r="T710" s="11"/>
      <c r="U710" s="32" t="str">
        <f aca="false">IF((LEN(A710)+LEN(B710)+LEN(C710)+LEN(D710)+LEN(E710)+LEN(F710)+LEN(G710)+LEN(H710)+LEN(I710)+LEN(J710)+LEN(K710)+LEN(M710)+LEN(N710)+LEN(O710)+LEN(P710)+LEN(Q710)+LEN(R710)+LEN(S710)+LEN(T710))=0,"",IF(OR(A710="",B710="",C710="",D710="",E710="",J710="",K710="",N710=""),"⚠ Champ obligatoire manquant",IF(AND(ISNUMBER(K710),ISNUMBER(J710),N(K710)&gt;N(J710)),"⚠ Prix Autopiec &gt; prix public",IF(COUNTIFS($A$2:$A$1001,A710,$B$2:$B$1001,B710)&gt;1,"⚠ Référence en double","✔ OK"))))</f>
        <v/>
      </c>
    </row>
    <row r="711" customFormat="false" ht="15" hidden="false" customHeight="false" outlineLevel="0" collapsed="false">
      <c r="A711" s="11"/>
      <c r="B711" s="27"/>
      <c r="C711" s="11"/>
      <c r="D711" s="11"/>
      <c r="E711" s="11"/>
      <c r="F711" s="27"/>
      <c r="G711" s="27"/>
      <c r="H711" s="11"/>
      <c r="I711" s="11"/>
      <c r="J711" s="12"/>
      <c r="K711" s="12"/>
      <c r="L711" s="28" t="str">
        <f aca="false">IF(AND(ISNUMBER(J711),ISNUMBER(K711),N(J711)&gt;0),1-K711/J711,"")</f>
        <v/>
      </c>
      <c r="M711" s="29"/>
      <c r="N711" s="30"/>
      <c r="O711" s="30"/>
      <c r="P711" s="11"/>
      <c r="Q711" s="31"/>
      <c r="R711" s="11"/>
      <c r="S711" s="11"/>
      <c r="T711" s="11"/>
      <c r="U711" s="32" t="str">
        <f aca="false">IF((LEN(A711)+LEN(B711)+LEN(C711)+LEN(D711)+LEN(E711)+LEN(F711)+LEN(G711)+LEN(H711)+LEN(I711)+LEN(J711)+LEN(K711)+LEN(M711)+LEN(N711)+LEN(O711)+LEN(P711)+LEN(Q711)+LEN(R711)+LEN(S711)+LEN(T711))=0,"",IF(OR(A711="",B711="",C711="",D711="",E711="",J711="",K711="",N711=""),"⚠ Champ obligatoire manquant",IF(AND(ISNUMBER(K711),ISNUMBER(J711),N(K711)&gt;N(J711)),"⚠ Prix Autopiec &gt; prix public",IF(COUNTIFS($A$2:$A$1001,A711,$B$2:$B$1001,B711)&gt;1,"⚠ Référence en double","✔ OK"))))</f>
        <v/>
      </c>
    </row>
    <row r="712" customFormat="false" ht="15" hidden="false" customHeight="false" outlineLevel="0" collapsed="false">
      <c r="A712" s="11"/>
      <c r="B712" s="27"/>
      <c r="C712" s="11"/>
      <c r="D712" s="11"/>
      <c r="E712" s="11"/>
      <c r="F712" s="27"/>
      <c r="G712" s="27"/>
      <c r="H712" s="11"/>
      <c r="I712" s="11"/>
      <c r="J712" s="12"/>
      <c r="K712" s="12"/>
      <c r="L712" s="28" t="str">
        <f aca="false">IF(AND(ISNUMBER(J712),ISNUMBER(K712),N(J712)&gt;0),1-K712/J712,"")</f>
        <v/>
      </c>
      <c r="M712" s="29"/>
      <c r="N712" s="30"/>
      <c r="O712" s="30"/>
      <c r="P712" s="11"/>
      <c r="Q712" s="31"/>
      <c r="R712" s="11"/>
      <c r="S712" s="11"/>
      <c r="T712" s="11"/>
      <c r="U712" s="32" t="str">
        <f aca="false">IF((LEN(A712)+LEN(B712)+LEN(C712)+LEN(D712)+LEN(E712)+LEN(F712)+LEN(G712)+LEN(H712)+LEN(I712)+LEN(J712)+LEN(K712)+LEN(M712)+LEN(N712)+LEN(O712)+LEN(P712)+LEN(Q712)+LEN(R712)+LEN(S712)+LEN(T712))=0,"",IF(OR(A712="",B712="",C712="",D712="",E712="",J712="",K712="",N712=""),"⚠ Champ obligatoire manquant",IF(AND(ISNUMBER(K712),ISNUMBER(J712),N(K712)&gt;N(J712)),"⚠ Prix Autopiec &gt; prix public",IF(COUNTIFS($A$2:$A$1001,A712,$B$2:$B$1001,B712)&gt;1,"⚠ Référence en double","✔ OK"))))</f>
        <v/>
      </c>
    </row>
    <row r="713" customFormat="false" ht="15" hidden="false" customHeight="false" outlineLevel="0" collapsed="false">
      <c r="A713" s="11"/>
      <c r="B713" s="27"/>
      <c r="C713" s="11"/>
      <c r="D713" s="11"/>
      <c r="E713" s="11"/>
      <c r="F713" s="27"/>
      <c r="G713" s="27"/>
      <c r="H713" s="11"/>
      <c r="I713" s="11"/>
      <c r="J713" s="12"/>
      <c r="K713" s="12"/>
      <c r="L713" s="28" t="str">
        <f aca="false">IF(AND(ISNUMBER(J713),ISNUMBER(K713),N(J713)&gt;0),1-K713/J713,"")</f>
        <v/>
      </c>
      <c r="M713" s="29"/>
      <c r="N713" s="30"/>
      <c r="O713" s="30"/>
      <c r="P713" s="11"/>
      <c r="Q713" s="31"/>
      <c r="R713" s="11"/>
      <c r="S713" s="11"/>
      <c r="T713" s="11"/>
      <c r="U713" s="32" t="str">
        <f aca="false">IF((LEN(A713)+LEN(B713)+LEN(C713)+LEN(D713)+LEN(E713)+LEN(F713)+LEN(G713)+LEN(H713)+LEN(I713)+LEN(J713)+LEN(K713)+LEN(M713)+LEN(N713)+LEN(O713)+LEN(P713)+LEN(Q713)+LEN(R713)+LEN(S713)+LEN(T713))=0,"",IF(OR(A713="",B713="",C713="",D713="",E713="",J713="",K713="",N713=""),"⚠ Champ obligatoire manquant",IF(AND(ISNUMBER(K713),ISNUMBER(J713),N(K713)&gt;N(J713)),"⚠ Prix Autopiec &gt; prix public",IF(COUNTIFS($A$2:$A$1001,A713,$B$2:$B$1001,B713)&gt;1,"⚠ Référence en double","✔ OK"))))</f>
        <v/>
      </c>
    </row>
    <row r="714" customFormat="false" ht="15" hidden="false" customHeight="false" outlineLevel="0" collapsed="false">
      <c r="A714" s="11"/>
      <c r="B714" s="27"/>
      <c r="C714" s="11"/>
      <c r="D714" s="11"/>
      <c r="E714" s="11"/>
      <c r="F714" s="27"/>
      <c r="G714" s="27"/>
      <c r="H714" s="11"/>
      <c r="I714" s="11"/>
      <c r="J714" s="12"/>
      <c r="K714" s="12"/>
      <c r="L714" s="28" t="str">
        <f aca="false">IF(AND(ISNUMBER(J714),ISNUMBER(K714),N(J714)&gt;0),1-K714/J714,"")</f>
        <v/>
      </c>
      <c r="M714" s="29"/>
      <c r="N714" s="30"/>
      <c r="O714" s="30"/>
      <c r="P714" s="11"/>
      <c r="Q714" s="31"/>
      <c r="R714" s="11"/>
      <c r="S714" s="11"/>
      <c r="T714" s="11"/>
      <c r="U714" s="32" t="str">
        <f aca="false">IF((LEN(A714)+LEN(B714)+LEN(C714)+LEN(D714)+LEN(E714)+LEN(F714)+LEN(G714)+LEN(H714)+LEN(I714)+LEN(J714)+LEN(K714)+LEN(M714)+LEN(N714)+LEN(O714)+LEN(P714)+LEN(Q714)+LEN(R714)+LEN(S714)+LEN(T714))=0,"",IF(OR(A714="",B714="",C714="",D714="",E714="",J714="",K714="",N714=""),"⚠ Champ obligatoire manquant",IF(AND(ISNUMBER(K714),ISNUMBER(J714),N(K714)&gt;N(J714)),"⚠ Prix Autopiec &gt; prix public",IF(COUNTIFS($A$2:$A$1001,A714,$B$2:$B$1001,B714)&gt;1,"⚠ Référence en double","✔ OK"))))</f>
        <v/>
      </c>
    </row>
    <row r="715" customFormat="false" ht="15" hidden="false" customHeight="false" outlineLevel="0" collapsed="false">
      <c r="A715" s="11"/>
      <c r="B715" s="27"/>
      <c r="C715" s="11"/>
      <c r="D715" s="11"/>
      <c r="E715" s="11"/>
      <c r="F715" s="27"/>
      <c r="G715" s="27"/>
      <c r="H715" s="11"/>
      <c r="I715" s="11"/>
      <c r="J715" s="12"/>
      <c r="K715" s="12"/>
      <c r="L715" s="28" t="str">
        <f aca="false">IF(AND(ISNUMBER(J715),ISNUMBER(K715),N(J715)&gt;0),1-K715/J715,"")</f>
        <v/>
      </c>
      <c r="M715" s="29"/>
      <c r="N715" s="30"/>
      <c r="O715" s="30"/>
      <c r="P715" s="11"/>
      <c r="Q715" s="31"/>
      <c r="R715" s="11"/>
      <c r="S715" s="11"/>
      <c r="T715" s="11"/>
      <c r="U715" s="32" t="str">
        <f aca="false">IF((LEN(A715)+LEN(B715)+LEN(C715)+LEN(D715)+LEN(E715)+LEN(F715)+LEN(G715)+LEN(H715)+LEN(I715)+LEN(J715)+LEN(K715)+LEN(M715)+LEN(N715)+LEN(O715)+LEN(P715)+LEN(Q715)+LEN(R715)+LEN(S715)+LEN(T715))=0,"",IF(OR(A715="",B715="",C715="",D715="",E715="",J715="",K715="",N715=""),"⚠ Champ obligatoire manquant",IF(AND(ISNUMBER(K715),ISNUMBER(J715),N(K715)&gt;N(J715)),"⚠ Prix Autopiec &gt; prix public",IF(COUNTIFS($A$2:$A$1001,A715,$B$2:$B$1001,B715)&gt;1,"⚠ Référence en double","✔ OK"))))</f>
        <v/>
      </c>
    </row>
    <row r="716" customFormat="false" ht="15" hidden="false" customHeight="false" outlineLevel="0" collapsed="false">
      <c r="A716" s="11"/>
      <c r="B716" s="27"/>
      <c r="C716" s="11"/>
      <c r="D716" s="11"/>
      <c r="E716" s="11"/>
      <c r="F716" s="27"/>
      <c r="G716" s="27"/>
      <c r="H716" s="11"/>
      <c r="I716" s="11"/>
      <c r="J716" s="12"/>
      <c r="K716" s="12"/>
      <c r="L716" s="28" t="str">
        <f aca="false">IF(AND(ISNUMBER(J716),ISNUMBER(K716),N(J716)&gt;0),1-K716/J716,"")</f>
        <v/>
      </c>
      <c r="M716" s="29"/>
      <c r="N716" s="30"/>
      <c r="O716" s="30"/>
      <c r="P716" s="11"/>
      <c r="Q716" s="31"/>
      <c r="R716" s="11"/>
      <c r="S716" s="11"/>
      <c r="T716" s="11"/>
      <c r="U716" s="32" t="str">
        <f aca="false">IF((LEN(A716)+LEN(B716)+LEN(C716)+LEN(D716)+LEN(E716)+LEN(F716)+LEN(G716)+LEN(H716)+LEN(I716)+LEN(J716)+LEN(K716)+LEN(M716)+LEN(N716)+LEN(O716)+LEN(P716)+LEN(Q716)+LEN(R716)+LEN(S716)+LEN(T716))=0,"",IF(OR(A716="",B716="",C716="",D716="",E716="",J716="",K716="",N716=""),"⚠ Champ obligatoire manquant",IF(AND(ISNUMBER(K716),ISNUMBER(J716),N(K716)&gt;N(J716)),"⚠ Prix Autopiec &gt; prix public",IF(COUNTIFS($A$2:$A$1001,A716,$B$2:$B$1001,B716)&gt;1,"⚠ Référence en double","✔ OK"))))</f>
        <v/>
      </c>
    </row>
    <row r="717" customFormat="false" ht="15" hidden="false" customHeight="false" outlineLevel="0" collapsed="false">
      <c r="A717" s="11"/>
      <c r="B717" s="27"/>
      <c r="C717" s="11"/>
      <c r="D717" s="11"/>
      <c r="E717" s="11"/>
      <c r="F717" s="27"/>
      <c r="G717" s="27"/>
      <c r="H717" s="11"/>
      <c r="I717" s="11"/>
      <c r="J717" s="12"/>
      <c r="K717" s="12"/>
      <c r="L717" s="28" t="str">
        <f aca="false">IF(AND(ISNUMBER(J717),ISNUMBER(K717),N(J717)&gt;0),1-K717/J717,"")</f>
        <v/>
      </c>
      <c r="M717" s="29"/>
      <c r="N717" s="30"/>
      <c r="O717" s="30"/>
      <c r="P717" s="11"/>
      <c r="Q717" s="31"/>
      <c r="R717" s="11"/>
      <c r="S717" s="11"/>
      <c r="T717" s="11"/>
      <c r="U717" s="32" t="str">
        <f aca="false">IF((LEN(A717)+LEN(B717)+LEN(C717)+LEN(D717)+LEN(E717)+LEN(F717)+LEN(G717)+LEN(H717)+LEN(I717)+LEN(J717)+LEN(K717)+LEN(M717)+LEN(N717)+LEN(O717)+LEN(P717)+LEN(Q717)+LEN(R717)+LEN(S717)+LEN(T717))=0,"",IF(OR(A717="",B717="",C717="",D717="",E717="",J717="",K717="",N717=""),"⚠ Champ obligatoire manquant",IF(AND(ISNUMBER(K717),ISNUMBER(J717),N(K717)&gt;N(J717)),"⚠ Prix Autopiec &gt; prix public",IF(COUNTIFS($A$2:$A$1001,A717,$B$2:$B$1001,B717)&gt;1,"⚠ Référence en double","✔ OK"))))</f>
        <v/>
      </c>
    </row>
    <row r="718" customFormat="false" ht="15" hidden="false" customHeight="false" outlineLevel="0" collapsed="false">
      <c r="A718" s="11"/>
      <c r="B718" s="27"/>
      <c r="C718" s="11"/>
      <c r="D718" s="11"/>
      <c r="E718" s="11"/>
      <c r="F718" s="27"/>
      <c r="G718" s="27"/>
      <c r="H718" s="11"/>
      <c r="I718" s="11"/>
      <c r="J718" s="12"/>
      <c r="K718" s="12"/>
      <c r="L718" s="28" t="str">
        <f aca="false">IF(AND(ISNUMBER(J718),ISNUMBER(K718),N(J718)&gt;0),1-K718/J718,"")</f>
        <v/>
      </c>
      <c r="M718" s="29"/>
      <c r="N718" s="30"/>
      <c r="O718" s="30"/>
      <c r="P718" s="11"/>
      <c r="Q718" s="31"/>
      <c r="R718" s="11"/>
      <c r="S718" s="11"/>
      <c r="T718" s="11"/>
      <c r="U718" s="32" t="str">
        <f aca="false">IF((LEN(A718)+LEN(B718)+LEN(C718)+LEN(D718)+LEN(E718)+LEN(F718)+LEN(G718)+LEN(H718)+LEN(I718)+LEN(J718)+LEN(K718)+LEN(M718)+LEN(N718)+LEN(O718)+LEN(P718)+LEN(Q718)+LEN(R718)+LEN(S718)+LEN(T718))=0,"",IF(OR(A718="",B718="",C718="",D718="",E718="",J718="",K718="",N718=""),"⚠ Champ obligatoire manquant",IF(AND(ISNUMBER(K718),ISNUMBER(J718),N(K718)&gt;N(J718)),"⚠ Prix Autopiec &gt; prix public",IF(COUNTIFS($A$2:$A$1001,A718,$B$2:$B$1001,B718)&gt;1,"⚠ Référence en double","✔ OK"))))</f>
        <v/>
      </c>
    </row>
    <row r="719" customFormat="false" ht="15" hidden="false" customHeight="false" outlineLevel="0" collapsed="false">
      <c r="A719" s="11"/>
      <c r="B719" s="27"/>
      <c r="C719" s="11"/>
      <c r="D719" s="11"/>
      <c r="E719" s="11"/>
      <c r="F719" s="27"/>
      <c r="G719" s="27"/>
      <c r="H719" s="11"/>
      <c r="I719" s="11"/>
      <c r="J719" s="12"/>
      <c r="K719" s="12"/>
      <c r="L719" s="28" t="str">
        <f aca="false">IF(AND(ISNUMBER(J719),ISNUMBER(K719),N(J719)&gt;0),1-K719/J719,"")</f>
        <v/>
      </c>
      <c r="M719" s="29"/>
      <c r="N719" s="30"/>
      <c r="O719" s="30"/>
      <c r="P719" s="11"/>
      <c r="Q719" s="31"/>
      <c r="R719" s="11"/>
      <c r="S719" s="11"/>
      <c r="T719" s="11"/>
      <c r="U719" s="32" t="str">
        <f aca="false">IF((LEN(A719)+LEN(B719)+LEN(C719)+LEN(D719)+LEN(E719)+LEN(F719)+LEN(G719)+LEN(H719)+LEN(I719)+LEN(J719)+LEN(K719)+LEN(M719)+LEN(N719)+LEN(O719)+LEN(P719)+LEN(Q719)+LEN(R719)+LEN(S719)+LEN(T719))=0,"",IF(OR(A719="",B719="",C719="",D719="",E719="",J719="",K719="",N719=""),"⚠ Champ obligatoire manquant",IF(AND(ISNUMBER(K719),ISNUMBER(J719),N(K719)&gt;N(J719)),"⚠ Prix Autopiec &gt; prix public",IF(COUNTIFS($A$2:$A$1001,A719,$B$2:$B$1001,B719)&gt;1,"⚠ Référence en double","✔ OK"))))</f>
        <v/>
      </c>
    </row>
    <row r="720" customFormat="false" ht="15" hidden="false" customHeight="false" outlineLevel="0" collapsed="false">
      <c r="A720" s="11"/>
      <c r="B720" s="27"/>
      <c r="C720" s="11"/>
      <c r="D720" s="11"/>
      <c r="E720" s="11"/>
      <c r="F720" s="27"/>
      <c r="G720" s="27"/>
      <c r="H720" s="11"/>
      <c r="I720" s="11"/>
      <c r="J720" s="12"/>
      <c r="K720" s="12"/>
      <c r="L720" s="28" t="str">
        <f aca="false">IF(AND(ISNUMBER(J720),ISNUMBER(K720),N(J720)&gt;0),1-K720/J720,"")</f>
        <v/>
      </c>
      <c r="M720" s="29"/>
      <c r="N720" s="30"/>
      <c r="O720" s="30"/>
      <c r="P720" s="11"/>
      <c r="Q720" s="31"/>
      <c r="R720" s="11"/>
      <c r="S720" s="11"/>
      <c r="T720" s="11"/>
      <c r="U720" s="32" t="str">
        <f aca="false">IF((LEN(A720)+LEN(B720)+LEN(C720)+LEN(D720)+LEN(E720)+LEN(F720)+LEN(G720)+LEN(H720)+LEN(I720)+LEN(J720)+LEN(K720)+LEN(M720)+LEN(N720)+LEN(O720)+LEN(P720)+LEN(Q720)+LEN(R720)+LEN(S720)+LEN(T720))=0,"",IF(OR(A720="",B720="",C720="",D720="",E720="",J720="",K720="",N720=""),"⚠ Champ obligatoire manquant",IF(AND(ISNUMBER(K720),ISNUMBER(J720),N(K720)&gt;N(J720)),"⚠ Prix Autopiec &gt; prix public",IF(COUNTIFS($A$2:$A$1001,A720,$B$2:$B$1001,B720)&gt;1,"⚠ Référence en double","✔ OK"))))</f>
        <v/>
      </c>
    </row>
    <row r="721" customFormat="false" ht="15" hidden="false" customHeight="false" outlineLevel="0" collapsed="false">
      <c r="A721" s="11"/>
      <c r="B721" s="27"/>
      <c r="C721" s="11"/>
      <c r="D721" s="11"/>
      <c r="E721" s="11"/>
      <c r="F721" s="27"/>
      <c r="G721" s="27"/>
      <c r="H721" s="11"/>
      <c r="I721" s="11"/>
      <c r="J721" s="12"/>
      <c r="K721" s="12"/>
      <c r="L721" s="28" t="str">
        <f aca="false">IF(AND(ISNUMBER(J721),ISNUMBER(K721),N(J721)&gt;0),1-K721/J721,"")</f>
        <v/>
      </c>
      <c r="M721" s="29"/>
      <c r="N721" s="30"/>
      <c r="O721" s="30"/>
      <c r="P721" s="11"/>
      <c r="Q721" s="31"/>
      <c r="R721" s="11"/>
      <c r="S721" s="11"/>
      <c r="T721" s="11"/>
      <c r="U721" s="32" t="str">
        <f aca="false">IF((LEN(A721)+LEN(B721)+LEN(C721)+LEN(D721)+LEN(E721)+LEN(F721)+LEN(G721)+LEN(H721)+LEN(I721)+LEN(J721)+LEN(K721)+LEN(M721)+LEN(N721)+LEN(O721)+LEN(P721)+LEN(Q721)+LEN(R721)+LEN(S721)+LEN(T721))=0,"",IF(OR(A721="",B721="",C721="",D721="",E721="",J721="",K721="",N721=""),"⚠ Champ obligatoire manquant",IF(AND(ISNUMBER(K721),ISNUMBER(J721),N(K721)&gt;N(J721)),"⚠ Prix Autopiec &gt; prix public",IF(COUNTIFS($A$2:$A$1001,A721,$B$2:$B$1001,B721)&gt;1,"⚠ Référence en double","✔ OK"))))</f>
        <v/>
      </c>
    </row>
    <row r="722" customFormat="false" ht="15" hidden="false" customHeight="false" outlineLevel="0" collapsed="false">
      <c r="A722" s="11"/>
      <c r="B722" s="27"/>
      <c r="C722" s="11"/>
      <c r="D722" s="11"/>
      <c r="E722" s="11"/>
      <c r="F722" s="27"/>
      <c r="G722" s="27"/>
      <c r="H722" s="11"/>
      <c r="I722" s="11"/>
      <c r="J722" s="12"/>
      <c r="K722" s="12"/>
      <c r="L722" s="28" t="str">
        <f aca="false">IF(AND(ISNUMBER(J722),ISNUMBER(K722),N(J722)&gt;0),1-K722/J722,"")</f>
        <v/>
      </c>
      <c r="M722" s="29"/>
      <c r="N722" s="30"/>
      <c r="O722" s="30"/>
      <c r="P722" s="11"/>
      <c r="Q722" s="31"/>
      <c r="R722" s="11"/>
      <c r="S722" s="11"/>
      <c r="T722" s="11"/>
      <c r="U722" s="32" t="str">
        <f aca="false">IF((LEN(A722)+LEN(B722)+LEN(C722)+LEN(D722)+LEN(E722)+LEN(F722)+LEN(G722)+LEN(H722)+LEN(I722)+LEN(J722)+LEN(K722)+LEN(M722)+LEN(N722)+LEN(O722)+LEN(P722)+LEN(Q722)+LEN(R722)+LEN(S722)+LEN(T722))=0,"",IF(OR(A722="",B722="",C722="",D722="",E722="",J722="",K722="",N722=""),"⚠ Champ obligatoire manquant",IF(AND(ISNUMBER(K722),ISNUMBER(J722),N(K722)&gt;N(J722)),"⚠ Prix Autopiec &gt; prix public",IF(COUNTIFS($A$2:$A$1001,A722,$B$2:$B$1001,B722)&gt;1,"⚠ Référence en double","✔ OK"))))</f>
        <v/>
      </c>
    </row>
    <row r="723" customFormat="false" ht="15" hidden="false" customHeight="false" outlineLevel="0" collapsed="false">
      <c r="A723" s="11"/>
      <c r="B723" s="27"/>
      <c r="C723" s="11"/>
      <c r="D723" s="11"/>
      <c r="E723" s="11"/>
      <c r="F723" s="27"/>
      <c r="G723" s="27"/>
      <c r="H723" s="11"/>
      <c r="I723" s="11"/>
      <c r="J723" s="12"/>
      <c r="K723" s="12"/>
      <c r="L723" s="28" t="str">
        <f aca="false">IF(AND(ISNUMBER(J723),ISNUMBER(K723),N(J723)&gt;0),1-K723/J723,"")</f>
        <v/>
      </c>
      <c r="M723" s="29"/>
      <c r="N723" s="30"/>
      <c r="O723" s="30"/>
      <c r="P723" s="11"/>
      <c r="Q723" s="31"/>
      <c r="R723" s="11"/>
      <c r="S723" s="11"/>
      <c r="T723" s="11"/>
      <c r="U723" s="32" t="str">
        <f aca="false">IF((LEN(A723)+LEN(B723)+LEN(C723)+LEN(D723)+LEN(E723)+LEN(F723)+LEN(G723)+LEN(H723)+LEN(I723)+LEN(J723)+LEN(K723)+LEN(M723)+LEN(N723)+LEN(O723)+LEN(P723)+LEN(Q723)+LEN(R723)+LEN(S723)+LEN(T723))=0,"",IF(OR(A723="",B723="",C723="",D723="",E723="",J723="",K723="",N723=""),"⚠ Champ obligatoire manquant",IF(AND(ISNUMBER(K723),ISNUMBER(J723),N(K723)&gt;N(J723)),"⚠ Prix Autopiec &gt; prix public",IF(COUNTIFS($A$2:$A$1001,A723,$B$2:$B$1001,B723)&gt;1,"⚠ Référence en double","✔ OK"))))</f>
        <v/>
      </c>
    </row>
    <row r="724" customFormat="false" ht="15" hidden="false" customHeight="false" outlineLevel="0" collapsed="false">
      <c r="A724" s="11"/>
      <c r="B724" s="27"/>
      <c r="C724" s="11"/>
      <c r="D724" s="11"/>
      <c r="E724" s="11"/>
      <c r="F724" s="27"/>
      <c r="G724" s="27"/>
      <c r="H724" s="11"/>
      <c r="I724" s="11"/>
      <c r="J724" s="12"/>
      <c r="K724" s="12"/>
      <c r="L724" s="28" t="str">
        <f aca="false">IF(AND(ISNUMBER(J724),ISNUMBER(K724),N(J724)&gt;0),1-K724/J724,"")</f>
        <v/>
      </c>
      <c r="M724" s="29"/>
      <c r="N724" s="30"/>
      <c r="O724" s="30"/>
      <c r="P724" s="11"/>
      <c r="Q724" s="31"/>
      <c r="R724" s="11"/>
      <c r="S724" s="11"/>
      <c r="T724" s="11"/>
      <c r="U724" s="32" t="str">
        <f aca="false">IF((LEN(A724)+LEN(B724)+LEN(C724)+LEN(D724)+LEN(E724)+LEN(F724)+LEN(G724)+LEN(H724)+LEN(I724)+LEN(J724)+LEN(K724)+LEN(M724)+LEN(N724)+LEN(O724)+LEN(P724)+LEN(Q724)+LEN(R724)+LEN(S724)+LEN(T724))=0,"",IF(OR(A724="",B724="",C724="",D724="",E724="",J724="",K724="",N724=""),"⚠ Champ obligatoire manquant",IF(AND(ISNUMBER(K724),ISNUMBER(J724),N(K724)&gt;N(J724)),"⚠ Prix Autopiec &gt; prix public",IF(COUNTIFS($A$2:$A$1001,A724,$B$2:$B$1001,B724)&gt;1,"⚠ Référence en double","✔ OK"))))</f>
        <v/>
      </c>
    </row>
    <row r="725" customFormat="false" ht="15" hidden="false" customHeight="false" outlineLevel="0" collapsed="false">
      <c r="A725" s="11"/>
      <c r="B725" s="27"/>
      <c r="C725" s="11"/>
      <c r="D725" s="11"/>
      <c r="E725" s="11"/>
      <c r="F725" s="27"/>
      <c r="G725" s="27"/>
      <c r="H725" s="11"/>
      <c r="I725" s="11"/>
      <c r="J725" s="12"/>
      <c r="K725" s="12"/>
      <c r="L725" s="28" t="str">
        <f aca="false">IF(AND(ISNUMBER(J725),ISNUMBER(K725),N(J725)&gt;0),1-K725/J725,"")</f>
        <v/>
      </c>
      <c r="M725" s="29"/>
      <c r="N725" s="30"/>
      <c r="O725" s="30"/>
      <c r="P725" s="11"/>
      <c r="Q725" s="31"/>
      <c r="R725" s="11"/>
      <c r="S725" s="11"/>
      <c r="T725" s="11"/>
      <c r="U725" s="32" t="str">
        <f aca="false">IF((LEN(A725)+LEN(B725)+LEN(C725)+LEN(D725)+LEN(E725)+LEN(F725)+LEN(G725)+LEN(H725)+LEN(I725)+LEN(J725)+LEN(K725)+LEN(M725)+LEN(N725)+LEN(O725)+LEN(P725)+LEN(Q725)+LEN(R725)+LEN(S725)+LEN(T725))=0,"",IF(OR(A725="",B725="",C725="",D725="",E725="",J725="",K725="",N725=""),"⚠ Champ obligatoire manquant",IF(AND(ISNUMBER(K725),ISNUMBER(J725),N(K725)&gt;N(J725)),"⚠ Prix Autopiec &gt; prix public",IF(COUNTIFS($A$2:$A$1001,A725,$B$2:$B$1001,B725)&gt;1,"⚠ Référence en double","✔ OK"))))</f>
        <v/>
      </c>
    </row>
    <row r="726" customFormat="false" ht="15" hidden="false" customHeight="false" outlineLevel="0" collapsed="false">
      <c r="A726" s="11"/>
      <c r="B726" s="27"/>
      <c r="C726" s="11"/>
      <c r="D726" s="11"/>
      <c r="E726" s="11"/>
      <c r="F726" s="27"/>
      <c r="G726" s="27"/>
      <c r="H726" s="11"/>
      <c r="I726" s="11"/>
      <c r="J726" s="12"/>
      <c r="K726" s="12"/>
      <c r="L726" s="28" t="str">
        <f aca="false">IF(AND(ISNUMBER(J726),ISNUMBER(K726),N(J726)&gt;0),1-K726/J726,"")</f>
        <v/>
      </c>
      <c r="M726" s="29"/>
      <c r="N726" s="30"/>
      <c r="O726" s="30"/>
      <c r="P726" s="11"/>
      <c r="Q726" s="31"/>
      <c r="R726" s="11"/>
      <c r="S726" s="11"/>
      <c r="T726" s="11"/>
      <c r="U726" s="32" t="str">
        <f aca="false">IF((LEN(A726)+LEN(B726)+LEN(C726)+LEN(D726)+LEN(E726)+LEN(F726)+LEN(G726)+LEN(H726)+LEN(I726)+LEN(J726)+LEN(K726)+LEN(M726)+LEN(N726)+LEN(O726)+LEN(P726)+LEN(Q726)+LEN(R726)+LEN(S726)+LEN(T726))=0,"",IF(OR(A726="",B726="",C726="",D726="",E726="",J726="",K726="",N726=""),"⚠ Champ obligatoire manquant",IF(AND(ISNUMBER(K726),ISNUMBER(J726),N(K726)&gt;N(J726)),"⚠ Prix Autopiec &gt; prix public",IF(COUNTIFS($A$2:$A$1001,A726,$B$2:$B$1001,B726)&gt;1,"⚠ Référence en double","✔ OK"))))</f>
        <v/>
      </c>
    </row>
    <row r="727" customFormat="false" ht="15" hidden="false" customHeight="false" outlineLevel="0" collapsed="false">
      <c r="A727" s="11"/>
      <c r="B727" s="27"/>
      <c r="C727" s="11"/>
      <c r="D727" s="11"/>
      <c r="E727" s="11"/>
      <c r="F727" s="27"/>
      <c r="G727" s="27"/>
      <c r="H727" s="11"/>
      <c r="I727" s="11"/>
      <c r="J727" s="12"/>
      <c r="K727" s="12"/>
      <c r="L727" s="28" t="str">
        <f aca="false">IF(AND(ISNUMBER(J727),ISNUMBER(K727),N(J727)&gt;0),1-K727/J727,"")</f>
        <v/>
      </c>
      <c r="M727" s="29"/>
      <c r="N727" s="30"/>
      <c r="O727" s="30"/>
      <c r="P727" s="11"/>
      <c r="Q727" s="31"/>
      <c r="R727" s="11"/>
      <c r="S727" s="11"/>
      <c r="T727" s="11"/>
      <c r="U727" s="32" t="str">
        <f aca="false">IF((LEN(A727)+LEN(B727)+LEN(C727)+LEN(D727)+LEN(E727)+LEN(F727)+LEN(G727)+LEN(H727)+LEN(I727)+LEN(J727)+LEN(K727)+LEN(M727)+LEN(N727)+LEN(O727)+LEN(P727)+LEN(Q727)+LEN(R727)+LEN(S727)+LEN(T727))=0,"",IF(OR(A727="",B727="",C727="",D727="",E727="",J727="",K727="",N727=""),"⚠ Champ obligatoire manquant",IF(AND(ISNUMBER(K727),ISNUMBER(J727),N(K727)&gt;N(J727)),"⚠ Prix Autopiec &gt; prix public",IF(COUNTIFS($A$2:$A$1001,A727,$B$2:$B$1001,B727)&gt;1,"⚠ Référence en double","✔ OK"))))</f>
        <v/>
      </c>
    </row>
    <row r="728" customFormat="false" ht="15" hidden="false" customHeight="false" outlineLevel="0" collapsed="false">
      <c r="A728" s="11"/>
      <c r="B728" s="27"/>
      <c r="C728" s="11"/>
      <c r="D728" s="11"/>
      <c r="E728" s="11"/>
      <c r="F728" s="27"/>
      <c r="G728" s="27"/>
      <c r="H728" s="11"/>
      <c r="I728" s="11"/>
      <c r="J728" s="12"/>
      <c r="K728" s="12"/>
      <c r="L728" s="28" t="str">
        <f aca="false">IF(AND(ISNUMBER(J728),ISNUMBER(K728),N(J728)&gt;0),1-K728/J728,"")</f>
        <v/>
      </c>
      <c r="M728" s="29"/>
      <c r="N728" s="30"/>
      <c r="O728" s="30"/>
      <c r="P728" s="11"/>
      <c r="Q728" s="31"/>
      <c r="R728" s="11"/>
      <c r="S728" s="11"/>
      <c r="T728" s="11"/>
      <c r="U728" s="32" t="str">
        <f aca="false">IF((LEN(A728)+LEN(B728)+LEN(C728)+LEN(D728)+LEN(E728)+LEN(F728)+LEN(G728)+LEN(H728)+LEN(I728)+LEN(J728)+LEN(K728)+LEN(M728)+LEN(N728)+LEN(O728)+LEN(P728)+LEN(Q728)+LEN(R728)+LEN(S728)+LEN(T728))=0,"",IF(OR(A728="",B728="",C728="",D728="",E728="",J728="",K728="",N728=""),"⚠ Champ obligatoire manquant",IF(AND(ISNUMBER(K728),ISNUMBER(J728),N(K728)&gt;N(J728)),"⚠ Prix Autopiec &gt; prix public",IF(COUNTIFS($A$2:$A$1001,A728,$B$2:$B$1001,B728)&gt;1,"⚠ Référence en double","✔ OK"))))</f>
        <v/>
      </c>
    </row>
    <row r="729" customFormat="false" ht="15" hidden="false" customHeight="false" outlineLevel="0" collapsed="false">
      <c r="A729" s="11"/>
      <c r="B729" s="27"/>
      <c r="C729" s="11"/>
      <c r="D729" s="11"/>
      <c r="E729" s="11"/>
      <c r="F729" s="27"/>
      <c r="G729" s="27"/>
      <c r="H729" s="11"/>
      <c r="I729" s="11"/>
      <c r="J729" s="12"/>
      <c r="K729" s="12"/>
      <c r="L729" s="28" t="str">
        <f aca="false">IF(AND(ISNUMBER(J729),ISNUMBER(K729),N(J729)&gt;0),1-K729/J729,"")</f>
        <v/>
      </c>
      <c r="M729" s="29"/>
      <c r="N729" s="30"/>
      <c r="O729" s="30"/>
      <c r="P729" s="11"/>
      <c r="Q729" s="31"/>
      <c r="R729" s="11"/>
      <c r="S729" s="11"/>
      <c r="T729" s="11"/>
      <c r="U729" s="32" t="str">
        <f aca="false">IF((LEN(A729)+LEN(B729)+LEN(C729)+LEN(D729)+LEN(E729)+LEN(F729)+LEN(G729)+LEN(H729)+LEN(I729)+LEN(J729)+LEN(K729)+LEN(M729)+LEN(N729)+LEN(O729)+LEN(P729)+LEN(Q729)+LEN(R729)+LEN(S729)+LEN(T729))=0,"",IF(OR(A729="",B729="",C729="",D729="",E729="",J729="",K729="",N729=""),"⚠ Champ obligatoire manquant",IF(AND(ISNUMBER(K729),ISNUMBER(J729),N(K729)&gt;N(J729)),"⚠ Prix Autopiec &gt; prix public",IF(COUNTIFS($A$2:$A$1001,A729,$B$2:$B$1001,B729)&gt;1,"⚠ Référence en double","✔ OK"))))</f>
        <v/>
      </c>
    </row>
    <row r="730" customFormat="false" ht="15" hidden="false" customHeight="false" outlineLevel="0" collapsed="false">
      <c r="A730" s="11"/>
      <c r="B730" s="27"/>
      <c r="C730" s="11"/>
      <c r="D730" s="11"/>
      <c r="E730" s="11"/>
      <c r="F730" s="27"/>
      <c r="G730" s="27"/>
      <c r="H730" s="11"/>
      <c r="I730" s="11"/>
      <c r="J730" s="12"/>
      <c r="K730" s="12"/>
      <c r="L730" s="28" t="str">
        <f aca="false">IF(AND(ISNUMBER(J730),ISNUMBER(K730),N(J730)&gt;0),1-K730/J730,"")</f>
        <v/>
      </c>
      <c r="M730" s="29"/>
      <c r="N730" s="30"/>
      <c r="O730" s="30"/>
      <c r="P730" s="11"/>
      <c r="Q730" s="31"/>
      <c r="R730" s="11"/>
      <c r="S730" s="11"/>
      <c r="T730" s="11"/>
      <c r="U730" s="32" t="str">
        <f aca="false">IF((LEN(A730)+LEN(B730)+LEN(C730)+LEN(D730)+LEN(E730)+LEN(F730)+LEN(G730)+LEN(H730)+LEN(I730)+LEN(J730)+LEN(K730)+LEN(M730)+LEN(N730)+LEN(O730)+LEN(P730)+LEN(Q730)+LEN(R730)+LEN(S730)+LEN(T730))=0,"",IF(OR(A730="",B730="",C730="",D730="",E730="",J730="",K730="",N730=""),"⚠ Champ obligatoire manquant",IF(AND(ISNUMBER(K730),ISNUMBER(J730),N(K730)&gt;N(J730)),"⚠ Prix Autopiec &gt; prix public",IF(COUNTIFS($A$2:$A$1001,A730,$B$2:$B$1001,B730)&gt;1,"⚠ Référence en double","✔ OK"))))</f>
        <v/>
      </c>
    </row>
    <row r="731" customFormat="false" ht="15" hidden="false" customHeight="false" outlineLevel="0" collapsed="false">
      <c r="A731" s="11"/>
      <c r="B731" s="27"/>
      <c r="C731" s="11"/>
      <c r="D731" s="11"/>
      <c r="E731" s="11"/>
      <c r="F731" s="27"/>
      <c r="G731" s="27"/>
      <c r="H731" s="11"/>
      <c r="I731" s="11"/>
      <c r="J731" s="12"/>
      <c r="K731" s="12"/>
      <c r="L731" s="28" t="str">
        <f aca="false">IF(AND(ISNUMBER(J731),ISNUMBER(K731),N(J731)&gt;0),1-K731/J731,"")</f>
        <v/>
      </c>
      <c r="M731" s="29"/>
      <c r="N731" s="30"/>
      <c r="O731" s="30"/>
      <c r="P731" s="11"/>
      <c r="Q731" s="31"/>
      <c r="R731" s="11"/>
      <c r="S731" s="11"/>
      <c r="T731" s="11"/>
      <c r="U731" s="32" t="str">
        <f aca="false">IF((LEN(A731)+LEN(B731)+LEN(C731)+LEN(D731)+LEN(E731)+LEN(F731)+LEN(G731)+LEN(H731)+LEN(I731)+LEN(J731)+LEN(K731)+LEN(M731)+LEN(N731)+LEN(O731)+LEN(P731)+LEN(Q731)+LEN(R731)+LEN(S731)+LEN(T731))=0,"",IF(OR(A731="",B731="",C731="",D731="",E731="",J731="",K731="",N731=""),"⚠ Champ obligatoire manquant",IF(AND(ISNUMBER(K731),ISNUMBER(J731),N(K731)&gt;N(J731)),"⚠ Prix Autopiec &gt; prix public",IF(COUNTIFS($A$2:$A$1001,A731,$B$2:$B$1001,B731)&gt;1,"⚠ Référence en double","✔ OK"))))</f>
        <v/>
      </c>
    </row>
    <row r="732" customFormat="false" ht="15" hidden="false" customHeight="false" outlineLevel="0" collapsed="false">
      <c r="A732" s="11"/>
      <c r="B732" s="27"/>
      <c r="C732" s="11"/>
      <c r="D732" s="11"/>
      <c r="E732" s="11"/>
      <c r="F732" s="27"/>
      <c r="G732" s="27"/>
      <c r="H732" s="11"/>
      <c r="I732" s="11"/>
      <c r="J732" s="12"/>
      <c r="K732" s="12"/>
      <c r="L732" s="28" t="str">
        <f aca="false">IF(AND(ISNUMBER(J732),ISNUMBER(K732),N(J732)&gt;0),1-K732/J732,"")</f>
        <v/>
      </c>
      <c r="M732" s="29"/>
      <c r="N732" s="30"/>
      <c r="O732" s="30"/>
      <c r="P732" s="11"/>
      <c r="Q732" s="31"/>
      <c r="R732" s="11"/>
      <c r="S732" s="11"/>
      <c r="T732" s="11"/>
      <c r="U732" s="32" t="str">
        <f aca="false">IF((LEN(A732)+LEN(B732)+LEN(C732)+LEN(D732)+LEN(E732)+LEN(F732)+LEN(G732)+LEN(H732)+LEN(I732)+LEN(J732)+LEN(K732)+LEN(M732)+LEN(N732)+LEN(O732)+LEN(P732)+LEN(Q732)+LEN(R732)+LEN(S732)+LEN(T732))=0,"",IF(OR(A732="",B732="",C732="",D732="",E732="",J732="",K732="",N732=""),"⚠ Champ obligatoire manquant",IF(AND(ISNUMBER(K732),ISNUMBER(J732),N(K732)&gt;N(J732)),"⚠ Prix Autopiec &gt; prix public",IF(COUNTIFS($A$2:$A$1001,A732,$B$2:$B$1001,B732)&gt;1,"⚠ Référence en double","✔ OK"))))</f>
        <v/>
      </c>
    </row>
    <row r="733" customFormat="false" ht="15" hidden="false" customHeight="false" outlineLevel="0" collapsed="false">
      <c r="A733" s="11"/>
      <c r="B733" s="27"/>
      <c r="C733" s="11"/>
      <c r="D733" s="11"/>
      <c r="E733" s="11"/>
      <c r="F733" s="27"/>
      <c r="G733" s="27"/>
      <c r="H733" s="11"/>
      <c r="I733" s="11"/>
      <c r="J733" s="12"/>
      <c r="K733" s="12"/>
      <c r="L733" s="28" t="str">
        <f aca="false">IF(AND(ISNUMBER(J733),ISNUMBER(K733),N(J733)&gt;0),1-K733/J733,"")</f>
        <v/>
      </c>
      <c r="M733" s="29"/>
      <c r="N733" s="30"/>
      <c r="O733" s="30"/>
      <c r="P733" s="11"/>
      <c r="Q733" s="31"/>
      <c r="R733" s="11"/>
      <c r="S733" s="11"/>
      <c r="T733" s="11"/>
      <c r="U733" s="32" t="str">
        <f aca="false">IF((LEN(A733)+LEN(B733)+LEN(C733)+LEN(D733)+LEN(E733)+LEN(F733)+LEN(G733)+LEN(H733)+LEN(I733)+LEN(J733)+LEN(K733)+LEN(M733)+LEN(N733)+LEN(O733)+LEN(P733)+LEN(Q733)+LEN(R733)+LEN(S733)+LEN(T733))=0,"",IF(OR(A733="",B733="",C733="",D733="",E733="",J733="",K733="",N733=""),"⚠ Champ obligatoire manquant",IF(AND(ISNUMBER(K733),ISNUMBER(J733),N(K733)&gt;N(J733)),"⚠ Prix Autopiec &gt; prix public",IF(COUNTIFS($A$2:$A$1001,A733,$B$2:$B$1001,B733)&gt;1,"⚠ Référence en double","✔ OK"))))</f>
        <v/>
      </c>
    </row>
    <row r="734" customFormat="false" ht="15" hidden="false" customHeight="false" outlineLevel="0" collapsed="false">
      <c r="A734" s="11"/>
      <c r="B734" s="27"/>
      <c r="C734" s="11"/>
      <c r="D734" s="11"/>
      <c r="E734" s="11"/>
      <c r="F734" s="27"/>
      <c r="G734" s="27"/>
      <c r="H734" s="11"/>
      <c r="I734" s="11"/>
      <c r="J734" s="12"/>
      <c r="K734" s="12"/>
      <c r="L734" s="28" t="str">
        <f aca="false">IF(AND(ISNUMBER(J734),ISNUMBER(K734),N(J734)&gt;0),1-K734/J734,"")</f>
        <v/>
      </c>
      <c r="M734" s="29"/>
      <c r="N734" s="30"/>
      <c r="O734" s="30"/>
      <c r="P734" s="11"/>
      <c r="Q734" s="31"/>
      <c r="R734" s="11"/>
      <c r="S734" s="11"/>
      <c r="T734" s="11"/>
      <c r="U734" s="32" t="str">
        <f aca="false">IF((LEN(A734)+LEN(B734)+LEN(C734)+LEN(D734)+LEN(E734)+LEN(F734)+LEN(G734)+LEN(H734)+LEN(I734)+LEN(J734)+LEN(K734)+LEN(M734)+LEN(N734)+LEN(O734)+LEN(P734)+LEN(Q734)+LEN(R734)+LEN(S734)+LEN(T734))=0,"",IF(OR(A734="",B734="",C734="",D734="",E734="",J734="",K734="",N734=""),"⚠ Champ obligatoire manquant",IF(AND(ISNUMBER(K734),ISNUMBER(J734),N(K734)&gt;N(J734)),"⚠ Prix Autopiec &gt; prix public",IF(COUNTIFS($A$2:$A$1001,A734,$B$2:$B$1001,B734)&gt;1,"⚠ Référence en double","✔ OK"))))</f>
        <v/>
      </c>
    </row>
    <row r="735" customFormat="false" ht="15" hidden="false" customHeight="false" outlineLevel="0" collapsed="false">
      <c r="A735" s="11"/>
      <c r="B735" s="27"/>
      <c r="C735" s="11"/>
      <c r="D735" s="11"/>
      <c r="E735" s="11"/>
      <c r="F735" s="27"/>
      <c r="G735" s="27"/>
      <c r="H735" s="11"/>
      <c r="I735" s="11"/>
      <c r="J735" s="12"/>
      <c r="K735" s="12"/>
      <c r="L735" s="28" t="str">
        <f aca="false">IF(AND(ISNUMBER(J735),ISNUMBER(K735),N(J735)&gt;0),1-K735/J735,"")</f>
        <v/>
      </c>
      <c r="M735" s="29"/>
      <c r="N735" s="30"/>
      <c r="O735" s="30"/>
      <c r="P735" s="11"/>
      <c r="Q735" s="31"/>
      <c r="R735" s="11"/>
      <c r="S735" s="11"/>
      <c r="T735" s="11"/>
      <c r="U735" s="32" t="str">
        <f aca="false">IF((LEN(A735)+LEN(B735)+LEN(C735)+LEN(D735)+LEN(E735)+LEN(F735)+LEN(G735)+LEN(H735)+LEN(I735)+LEN(J735)+LEN(K735)+LEN(M735)+LEN(N735)+LEN(O735)+LEN(P735)+LEN(Q735)+LEN(R735)+LEN(S735)+LEN(T735))=0,"",IF(OR(A735="",B735="",C735="",D735="",E735="",J735="",K735="",N735=""),"⚠ Champ obligatoire manquant",IF(AND(ISNUMBER(K735),ISNUMBER(J735),N(K735)&gt;N(J735)),"⚠ Prix Autopiec &gt; prix public",IF(COUNTIFS($A$2:$A$1001,A735,$B$2:$B$1001,B735)&gt;1,"⚠ Référence en double","✔ OK"))))</f>
        <v/>
      </c>
    </row>
    <row r="736" customFormat="false" ht="15" hidden="false" customHeight="false" outlineLevel="0" collapsed="false">
      <c r="A736" s="11"/>
      <c r="B736" s="27"/>
      <c r="C736" s="11"/>
      <c r="D736" s="11"/>
      <c r="E736" s="11"/>
      <c r="F736" s="27"/>
      <c r="G736" s="27"/>
      <c r="H736" s="11"/>
      <c r="I736" s="11"/>
      <c r="J736" s="12"/>
      <c r="K736" s="12"/>
      <c r="L736" s="28" t="str">
        <f aca="false">IF(AND(ISNUMBER(J736),ISNUMBER(K736),N(J736)&gt;0),1-K736/J736,"")</f>
        <v/>
      </c>
      <c r="M736" s="29"/>
      <c r="N736" s="30"/>
      <c r="O736" s="30"/>
      <c r="P736" s="11"/>
      <c r="Q736" s="31"/>
      <c r="R736" s="11"/>
      <c r="S736" s="11"/>
      <c r="T736" s="11"/>
      <c r="U736" s="32" t="str">
        <f aca="false">IF((LEN(A736)+LEN(B736)+LEN(C736)+LEN(D736)+LEN(E736)+LEN(F736)+LEN(G736)+LEN(H736)+LEN(I736)+LEN(J736)+LEN(K736)+LEN(M736)+LEN(N736)+LEN(O736)+LEN(P736)+LEN(Q736)+LEN(R736)+LEN(S736)+LEN(T736))=0,"",IF(OR(A736="",B736="",C736="",D736="",E736="",J736="",K736="",N736=""),"⚠ Champ obligatoire manquant",IF(AND(ISNUMBER(K736),ISNUMBER(J736),N(K736)&gt;N(J736)),"⚠ Prix Autopiec &gt; prix public",IF(COUNTIFS($A$2:$A$1001,A736,$B$2:$B$1001,B736)&gt;1,"⚠ Référence en double","✔ OK"))))</f>
        <v/>
      </c>
    </row>
    <row r="737" customFormat="false" ht="15" hidden="false" customHeight="false" outlineLevel="0" collapsed="false">
      <c r="A737" s="11"/>
      <c r="B737" s="27"/>
      <c r="C737" s="11"/>
      <c r="D737" s="11"/>
      <c r="E737" s="11"/>
      <c r="F737" s="27"/>
      <c r="G737" s="27"/>
      <c r="H737" s="11"/>
      <c r="I737" s="11"/>
      <c r="J737" s="12"/>
      <c r="K737" s="12"/>
      <c r="L737" s="28" t="str">
        <f aca="false">IF(AND(ISNUMBER(J737),ISNUMBER(K737),N(J737)&gt;0),1-K737/J737,"")</f>
        <v/>
      </c>
      <c r="M737" s="29"/>
      <c r="N737" s="30"/>
      <c r="O737" s="30"/>
      <c r="P737" s="11"/>
      <c r="Q737" s="31"/>
      <c r="R737" s="11"/>
      <c r="S737" s="11"/>
      <c r="T737" s="11"/>
      <c r="U737" s="32" t="str">
        <f aca="false">IF((LEN(A737)+LEN(B737)+LEN(C737)+LEN(D737)+LEN(E737)+LEN(F737)+LEN(G737)+LEN(H737)+LEN(I737)+LEN(J737)+LEN(K737)+LEN(M737)+LEN(N737)+LEN(O737)+LEN(P737)+LEN(Q737)+LEN(R737)+LEN(S737)+LEN(T737))=0,"",IF(OR(A737="",B737="",C737="",D737="",E737="",J737="",K737="",N737=""),"⚠ Champ obligatoire manquant",IF(AND(ISNUMBER(K737),ISNUMBER(J737),N(K737)&gt;N(J737)),"⚠ Prix Autopiec &gt; prix public",IF(COUNTIFS($A$2:$A$1001,A737,$B$2:$B$1001,B737)&gt;1,"⚠ Référence en double","✔ OK"))))</f>
        <v/>
      </c>
    </row>
    <row r="738" customFormat="false" ht="15" hidden="false" customHeight="false" outlineLevel="0" collapsed="false">
      <c r="A738" s="11"/>
      <c r="B738" s="27"/>
      <c r="C738" s="11"/>
      <c r="D738" s="11"/>
      <c r="E738" s="11"/>
      <c r="F738" s="27"/>
      <c r="G738" s="27"/>
      <c r="H738" s="11"/>
      <c r="I738" s="11"/>
      <c r="J738" s="12"/>
      <c r="K738" s="12"/>
      <c r="L738" s="28" t="str">
        <f aca="false">IF(AND(ISNUMBER(J738),ISNUMBER(K738),N(J738)&gt;0),1-K738/J738,"")</f>
        <v/>
      </c>
      <c r="M738" s="29"/>
      <c r="N738" s="30"/>
      <c r="O738" s="30"/>
      <c r="P738" s="11"/>
      <c r="Q738" s="31"/>
      <c r="R738" s="11"/>
      <c r="S738" s="11"/>
      <c r="T738" s="11"/>
      <c r="U738" s="32" t="str">
        <f aca="false">IF((LEN(A738)+LEN(B738)+LEN(C738)+LEN(D738)+LEN(E738)+LEN(F738)+LEN(G738)+LEN(H738)+LEN(I738)+LEN(J738)+LEN(K738)+LEN(M738)+LEN(N738)+LEN(O738)+LEN(P738)+LEN(Q738)+LEN(R738)+LEN(S738)+LEN(T738))=0,"",IF(OR(A738="",B738="",C738="",D738="",E738="",J738="",K738="",N738=""),"⚠ Champ obligatoire manquant",IF(AND(ISNUMBER(K738),ISNUMBER(J738),N(K738)&gt;N(J738)),"⚠ Prix Autopiec &gt; prix public",IF(COUNTIFS($A$2:$A$1001,A738,$B$2:$B$1001,B738)&gt;1,"⚠ Référence en double","✔ OK"))))</f>
        <v/>
      </c>
    </row>
    <row r="739" customFormat="false" ht="15" hidden="false" customHeight="false" outlineLevel="0" collapsed="false">
      <c r="A739" s="11"/>
      <c r="B739" s="27"/>
      <c r="C739" s="11"/>
      <c r="D739" s="11"/>
      <c r="E739" s="11"/>
      <c r="F739" s="27"/>
      <c r="G739" s="27"/>
      <c r="H739" s="11"/>
      <c r="I739" s="11"/>
      <c r="J739" s="12"/>
      <c r="K739" s="12"/>
      <c r="L739" s="28" t="str">
        <f aca="false">IF(AND(ISNUMBER(J739),ISNUMBER(K739),N(J739)&gt;0),1-K739/J739,"")</f>
        <v/>
      </c>
      <c r="M739" s="29"/>
      <c r="N739" s="30"/>
      <c r="O739" s="30"/>
      <c r="P739" s="11"/>
      <c r="Q739" s="31"/>
      <c r="R739" s="11"/>
      <c r="S739" s="11"/>
      <c r="T739" s="11"/>
      <c r="U739" s="32" t="str">
        <f aca="false">IF((LEN(A739)+LEN(B739)+LEN(C739)+LEN(D739)+LEN(E739)+LEN(F739)+LEN(G739)+LEN(H739)+LEN(I739)+LEN(J739)+LEN(K739)+LEN(M739)+LEN(N739)+LEN(O739)+LEN(P739)+LEN(Q739)+LEN(R739)+LEN(S739)+LEN(T739))=0,"",IF(OR(A739="",B739="",C739="",D739="",E739="",J739="",K739="",N739=""),"⚠ Champ obligatoire manquant",IF(AND(ISNUMBER(K739),ISNUMBER(J739),N(K739)&gt;N(J739)),"⚠ Prix Autopiec &gt; prix public",IF(COUNTIFS($A$2:$A$1001,A739,$B$2:$B$1001,B739)&gt;1,"⚠ Référence en double","✔ OK"))))</f>
        <v/>
      </c>
    </row>
    <row r="740" customFormat="false" ht="15" hidden="false" customHeight="false" outlineLevel="0" collapsed="false">
      <c r="A740" s="11"/>
      <c r="B740" s="27"/>
      <c r="C740" s="11"/>
      <c r="D740" s="11"/>
      <c r="E740" s="11"/>
      <c r="F740" s="27"/>
      <c r="G740" s="27"/>
      <c r="H740" s="11"/>
      <c r="I740" s="11"/>
      <c r="J740" s="12"/>
      <c r="K740" s="12"/>
      <c r="L740" s="28" t="str">
        <f aca="false">IF(AND(ISNUMBER(J740),ISNUMBER(K740),N(J740)&gt;0),1-K740/J740,"")</f>
        <v/>
      </c>
      <c r="M740" s="29"/>
      <c r="N740" s="30"/>
      <c r="O740" s="30"/>
      <c r="P740" s="11"/>
      <c r="Q740" s="31"/>
      <c r="R740" s="11"/>
      <c r="S740" s="11"/>
      <c r="T740" s="11"/>
      <c r="U740" s="32" t="str">
        <f aca="false">IF((LEN(A740)+LEN(B740)+LEN(C740)+LEN(D740)+LEN(E740)+LEN(F740)+LEN(G740)+LEN(H740)+LEN(I740)+LEN(J740)+LEN(K740)+LEN(M740)+LEN(N740)+LEN(O740)+LEN(P740)+LEN(Q740)+LEN(R740)+LEN(S740)+LEN(T740))=0,"",IF(OR(A740="",B740="",C740="",D740="",E740="",J740="",K740="",N740=""),"⚠ Champ obligatoire manquant",IF(AND(ISNUMBER(K740),ISNUMBER(J740),N(K740)&gt;N(J740)),"⚠ Prix Autopiec &gt; prix public",IF(COUNTIFS($A$2:$A$1001,A740,$B$2:$B$1001,B740)&gt;1,"⚠ Référence en double","✔ OK"))))</f>
        <v/>
      </c>
    </row>
    <row r="741" customFormat="false" ht="15" hidden="false" customHeight="false" outlineLevel="0" collapsed="false">
      <c r="A741" s="11"/>
      <c r="B741" s="27"/>
      <c r="C741" s="11"/>
      <c r="D741" s="11"/>
      <c r="E741" s="11"/>
      <c r="F741" s="27"/>
      <c r="G741" s="27"/>
      <c r="H741" s="11"/>
      <c r="I741" s="11"/>
      <c r="J741" s="12"/>
      <c r="K741" s="12"/>
      <c r="L741" s="28" t="str">
        <f aca="false">IF(AND(ISNUMBER(J741),ISNUMBER(K741),N(J741)&gt;0),1-K741/J741,"")</f>
        <v/>
      </c>
      <c r="M741" s="29"/>
      <c r="N741" s="30"/>
      <c r="O741" s="30"/>
      <c r="P741" s="11"/>
      <c r="Q741" s="31"/>
      <c r="R741" s="11"/>
      <c r="S741" s="11"/>
      <c r="T741" s="11"/>
      <c r="U741" s="32" t="str">
        <f aca="false">IF((LEN(A741)+LEN(B741)+LEN(C741)+LEN(D741)+LEN(E741)+LEN(F741)+LEN(G741)+LEN(H741)+LEN(I741)+LEN(J741)+LEN(K741)+LEN(M741)+LEN(N741)+LEN(O741)+LEN(P741)+LEN(Q741)+LEN(R741)+LEN(S741)+LEN(T741))=0,"",IF(OR(A741="",B741="",C741="",D741="",E741="",J741="",K741="",N741=""),"⚠ Champ obligatoire manquant",IF(AND(ISNUMBER(K741),ISNUMBER(J741),N(K741)&gt;N(J741)),"⚠ Prix Autopiec &gt; prix public",IF(COUNTIFS($A$2:$A$1001,A741,$B$2:$B$1001,B741)&gt;1,"⚠ Référence en double","✔ OK"))))</f>
        <v/>
      </c>
    </row>
    <row r="742" customFormat="false" ht="15" hidden="false" customHeight="false" outlineLevel="0" collapsed="false">
      <c r="A742" s="11"/>
      <c r="B742" s="27"/>
      <c r="C742" s="11"/>
      <c r="D742" s="11"/>
      <c r="E742" s="11"/>
      <c r="F742" s="27"/>
      <c r="G742" s="27"/>
      <c r="H742" s="11"/>
      <c r="I742" s="11"/>
      <c r="J742" s="12"/>
      <c r="K742" s="12"/>
      <c r="L742" s="28" t="str">
        <f aca="false">IF(AND(ISNUMBER(J742),ISNUMBER(K742),N(J742)&gt;0),1-K742/J742,"")</f>
        <v/>
      </c>
      <c r="M742" s="29"/>
      <c r="N742" s="30"/>
      <c r="O742" s="30"/>
      <c r="P742" s="11"/>
      <c r="Q742" s="31"/>
      <c r="R742" s="11"/>
      <c r="S742" s="11"/>
      <c r="T742" s="11"/>
      <c r="U742" s="32" t="str">
        <f aca="false">IF((LEN(A742)+LEN(B742)+LEN(C742)+LEN(D742)+LEN(E742)+LEN(F742)+LEN(G742)+LEN(H742)+LEN(I742)+LEN(J742)+LEN(K742)+LEN(M742)+LEN(N742)+LEN(O742)+LEN(P742)+LEN(Q742)+LEN(R742)+LEN(S742)+LEN(T742))=0,"",IF(OR(A742="",B742="",C742="",D742="",E742="",J742="",K742="",N742=""),"⚠ Champ obligatoire manquant",IF(AND(ISNUMBER(K742),ISNUMBER(J742),N(K742)&gt;N(J742)),"⚠ Prix Autopiec &gt; prix public",IF(COUNTIFS($A$2:$A$1001,A742,$B$2:$B$1001,B742)&gt;1,"⚠ Référence en double","✔ OK"))))</f>
        <v/>
      </c>
    </row>
    <row r="743" customFormat="false" ht="15" hidden="false" customHeight="false" outlineLevel="0" collapsed="false">
      <c r="A743" s="11"/>
      <c r="B743" s="27"/>
      <c r="C743" s="11"/>
      <c r="D743" s="11"/>
      <c r="E743" s="11"/>
      <c r="F743" s="27"/>
      <c r="G743" s="27"/>
      <c r="H743" s="11"/>
      <c r="I743" s="11"/>
      <c r="J743" s="12"/>
      <c r="K743" s="12"/>
      <c r="L743" s="28" t="str">
        <f aca="false">IF(AND(ISNUMBER(J743),ISNUMBER(K743),N(J743)&gt;0),1-K743/J743,"")</f>
        <v/>
      </c>
      <c r="M743" s="29"/>
      <c r="N743" s="30"/>
      <c r="O743" s="30"/>
      <c r="P743" s="11"/>
      <c r="Q743" s="31"/>
      <c r="R743" s="11"/>
      <c r="S743" s="11"/>
      <c r="T743" s="11"/>
      <c r="U743" s="32" t="str">
        <f aca="false">IF((LEN(A743)+LEN(B743)+LEN(C743)+LEN(D743)+LEN(E743)+LEN(F743)+LEN(G743)+LEN(H743)+LEN(I743)+LEN(J743)+LEN(K743)+LEN(M743)+LEN(N743)+LEN(O743)+LEN(P743)+LEN(Q743)+LEN(R743)+LEN(S743)+LEN(T743))=0,"",IF(OR(A743="",B743="",C743="",D743="",E743="",J743="",K743="",N743=""),"⚠ Champ obligatoire manquant",IF(AND(ISNUMBER(K743),ISNUMBER(J743),N(K743)&gt;N(J743)),"⚠ Prix Autopiec &gt; prix public",IF(COUNTIFS($A$2:$A$1001,A743,$B$2:$B$1001,B743)&gt;1,"⚠ Référence en double","✔ OK"))))</f>
        <v/>
      </c>
    </row>
    <row r="744" customFormat="false" ht="15" hidden="false" customHeight="false" outlineLevel="0" collapsed="false">
      <c r="A744" s="11"/>
      <c r="B744" s="27"/>
      <c r="C744" s="11"/>
      <c r="D744" s="11"/>
      <c r="E744" s="11"/>
      <c r="F744" s="27"/>
      <c r="G744" s="27"/>
      <c r="H744" s="11"/>
      <c r="I744" s="11"/>
      <c r="J744" s="12"/>
      <c r="K744" s="12"/>
      <c r="L744" s="28" t="str">
        <f aca="false">IF(AND(ISNUMBER(J744),ISNUMBER(K744),N(J744)&gt;0),1-K744/J744,"")</f>
        <v/>
      </c>
      <c r="M744" s="29"/>
      <c r="N744" s="30"/>
      <c r="O744" s="30"/>
      <c r="P744" s="11"/>
      <c r="Q744" s="31"/>
      <c r="R744" s="11"/>
      <c r="S744" s="11"/>
      <c r="T744" s="11"/>
      <c r="U744" s="32" t="str">
        <f aca="false">IF((LEN(A744)+LEN(B744)+LEN(C744)+LEN(D744)+LEN(E744)+LEN(F744)+LEN(G744)+LEN(H744)+LEN(I744)+LEN(J744)+LEN(K744)+LEN(M744)+LEN(N744)+LEN(O744)+LEN(P744)+LEN(Q744)+LEN(R744)+LEN(S744)+LEN(T744))=0,"",IF(OR(A744="",B744="",C744="",D744="",E744="",J744="",K744="",N744=""),"⚠ Champ obligatoire manquant",IF(AND(ISNUMBER(K744),ISNUMBER(J744),N(K744)&gt;N(J744)),"⚠ Prix Autopiec &gt; prix public",IF(COUNTIFS($A$2:$A$1001,A744,$B$2:$B$1001,B744)&gt;1,"⚠ Référence en double","✔ OK"))))</f>
        <v/>
      </c>
    </row>
    <row r="745" customFormat="false" ht="15" hidden="false" customHeight="false" outlineLevel="0" collapsed="false">
      <c r="A745" s="11"/>
      <c r="B745" s="27"/>
      <c r="C745" s="11"/>
      <c r="D745" s="11"/>
      <c r="E745" s="11"/>
      <c r="F745" s="27"/>
      <c r="G745" s="27"/>
      <c r="H745" s="11"/>
      <c r="I745" s="11"/>
      <c r="J745" s="12"/>
      <c r="K745" s="12"/>
      <c r="L745" s="28" t="str">
        <f aca="false">IF(AND(ISNUMBER(J745),ISNUMBER(K745),N(J745)&gt;0),1-K745/J745,"")</f>
        <v/>
      </c>
      <c r="M745" s="29"/>
      <c r="N745" s="30"/>
      <c r="O745" s="30"/>
      <c r="P745" s="11"/>
      <c r="Q745" s="31"/>
      <c r="R745" s="11"/>
      <c r="S745" s="11"/>
      <c r="T745" s="11"/>
      <c r="U745" s="32" t="str">
        <f aca="false">IF((LEN(A745)+LEN(B745)+LEN(C745)+LEN(D745)+LEN(E745)+LEN(F745)+LEN(G745)+LEN(H745)+LEN(I745)+LEN(J745)+LEN(K745)+LEN(M745)+LEN(N745)+LEN(O745)+LEN(P745)+LEN(Q745)+LEN(R745)+LEN(S745)+LEN(T745))=0,"",IF(OR(A745="",B745="",C745="",D745="",E745="",J745="",K745="",N745=""),"⚠ Champ obligatoire manquant",IF(AND(ISNUMBER(K745),ISNUMBER(J745),N(K745)&gt;N(J745)),"⚠ Prix Autopiec &gt; prix public",IF(COUNTIFS($A$2:$A$1001,A745,$B$2:$B$1001,B745)&gt;1,"⚠ Référence en double","✔ OK"))))</f>
        <v/>
      </c>
    </row>
    <row r="746" customFormat="false" ht="15" hidden="false" customHeight="false" outlineLevel="0" collapsed="false">
      <c r="A746" s="11"/>
      <c r="B746" s="27"/>
      <c r="C746" s="11"/>
      <c r="D746" s="11"/>
      <c r="E746" s="11"/>
      <c r="F746" s="27"/>
      <c r="G746" s="27"/>
      <c r="H746" s="11"/>
      <c r="I746" s="11"/>
      <c r="J746" s="12"/>
      <c r="K746" s="12"/>
      <c r="L746" s="28" t="str">
        <f aca="false">IF(AND(ISNUMBER(J746),ISNUMBER(K746),N(J746)&gt;0),1-K746/J746,"")</f>
        <v/>
      </c>
      <c r="M746" s="29"/>
      <c r="N746" s="30"/>
      <c r="O746" s="30"/>
      <c r="P746" s="11"/>
      <c r="Q746" s="31"/>
      <c r="R746" s="11"/>
      <c r="S746" s="11"/>
      <c r="T746" s="11"/>
      <c r="U746" s="32" t="str">
        <f aca="false">IF((LEN(A746)+LEN(B746)+LEN(C746)+LEN(D746)+LEN(E746)+LEN(F746)+LEN(G746)+LEN(H746)+LEN(I746)+LEN(J746)+LEN(K746)+LEN(M746)+LEN(N746)+LEN(O746)+LEN(P746)+LEN(Q746)+LEN(R746)+LEN(S746)+LEN(T746))=0,"",IF(OR(A746="",B746="",C746="",D746="",E746="",J746="",K746="",N746=""),"⚠ Champ obligatoire manquant",IF(AND(ISNUMBER(K746),ISNUMBER(J746),N(K746)&gt;N(J746)),"⚠ Prix Autopiec &gt; prix public",IF(COUNTIFS($A$2:$A$1001,A746,$B$2:$B$1001,B746)&gt;1,"⚠ Référence en double","✔ OK"))))</f>
        <v/>
      </c>
    </row>
    <row r="747" customFormat="false" ht="15" hidden="false" customHeight="false" outlineLevel="0" collapsed="false">
      <c r="A747" s="11"/>
      <c r="B747" s="27"/>
      <c r="C747" s="11"/>
      <c r="D747" s="11"/>
      <c r="E747" s="11"/>
      <c r="F747" s="27"/>
      <c r="G747" s="27"/>
      <c r="H747" s="11"/>
      <c r="I747" s="11"/>
      <c r="J747" s="12"/>
      <c r="K747" s="12"/>
      <c r="L747" s="28" t="str">
        <f aca="false">IF(AND(ISNUMBER(J747),ISNUMBER(K747),N(J747)&gt;0),1-K747/J747,"")</f>
        <v/>
      </c>
      <c r="M747" s="29"/>
      <c r="N747" s="30"/>
      <c r="O747" s="30"/>
      <c r="P747" s="11"/>
      <c r="Q747" s="31"/>
      <c r="R747" s="11"/>
      <c r="S747" s="11"/>
      <c r="T747" s="11"/>
      <c r="U747" s="32" t="str">
        <f aca="false">IF((LEN(A747)+LEN(B747)+LEN(C747)+LEN(D747)+LEN(E747)+LEN(F747)+LEN(G747)+LEN(H747)+LEN(I747)+LEN(J747)+LEN(K747)+LEN(M747)+LEN(N747)+LEN(O747)+LEN(P747)+LEN(Q747)+LEN(R747)+LEN(S747)+LEN(T747))=0,"",IF(OR(A747="",B747="",C747="",D747="",E747="",J747="",K747="",N747=""),"⚠ Champ obligatoire manquant",IF(AND(ISNUMBER(K747),ISNUMBER(J747),N(K747)&gt;N(J747)),"⚠ Prix Autopiec &gt; prix public",IF(COUNTIFS($A$2:$A$1001,A747,$B$2:$B$1001,B747)&gt;1,"⚠ Référence en double","✔ OK"))))</f>
        <v/>
      </c>
    </row>
    <row r="748" customFormat="false" ht="15" hidden="false" customHeight="false" outlineLevel="0" collapsed="false">
      <c r="A748" s="11"/>
      <c r="B748" s="27"/>
      <c r="C748" s="11"/>
      <c r="D748" s="11"/>
      <c r="E748" s="11"/>
      <c r="F748" s="27"/>
      <c r="G748" s="27"/>
      <c r="H748" s="11"/>
      <c r="I748" s="11"/>
      <c r="J748" s="12"/>
      <c r="K748" s="12"/>
      <c r="L748" s="28" t="str">
        <f aca="false">IF(AND(ISNUMBER(J748),ISNUMBER(K748),N(J748)&gt;0),1-K748/J748,"")</f>
        <v/>
      </c>
      <c r="M748" s="29"/>
      <c r="N748" s="30"/>
      <c r="O748" s="30"/>
      <c r="P748" s="11"/>
      <c r="Q748" s="31"/>
      <c r="R748" s="11"/>
      <c r="S748" s="11"/>
      <c r="T748" s="11"/>
      <c r="U748" s="32" t="str">
        <f aca="false">IF((LEN(A748)+LEN(B748)+LEN(C748)+LEN(D748)+LEN(E748)+LEN(F748)+LEN(G748)+LEN(H748)+LEN(I748)+LEN(J748)+LEN(K748)+LEN(M748)+LEN(N748)+LEN(O748)+LEN(P748)+LEN(Q748)+LEN(R748)+LEN(S748)+LEN(T748))=0,"",IF(OR(A748="",B748="",C748="",D748="",E748="",J748="",K748="",N748=""),"⚠ Champ obligatoire manquant",IF(AND(ISNUMBER(K748),ISNUMBER(J748),N(K748)&gt;N(J748)),"⚠ Prix Autopiec &gt; prix public",IF(COUNTIFS($A$2:$A$1001,A748,$B$2:$B$1001,B748)&gt;1,"⚠ Référence en double","✔ OK"))))</f>
        <v/>
      </c>
    </row>
    <row r="749" customFormat="false" ht="15" hidden="false" customHeight="false" outlineLevel="0" collapsed="false">
      <c r="A749" s="11"/>
      <c r="B749" s="27"/>
      <c r="C749" s="11"/>
      <c r="D749" s="11"/>
      <c r="E749" s="11"/>
      <c r="F749" s="27"/>
      <c r="G749" s="27"/>
      <c r="H749" s="11"/>
      <c r="I749" s="11"/>
      <c r="J749" s="12"/>
      <c r="K749" s="12"/>
      <c r="L749" s="28" t="str">
        <f aca="false">IF(AND(ISNUMBER(J749),ISNUMBER(K749),N(J749)&gt;0),1-K749/J749,"")</f>
        <v/>
      </c>
      <c r="M749" s="29"/>
      <c r="N749" s="30"/>
      <c r="O749" s="30"/>
      <c r="P749" s="11"/>
      <c r="Q749" s="31"/>
      <c r="R749" s="11"/>
      <c r="S749" s="11"/>
      <c r="T749" s="11"/>
      <c r="U749" s="32" t="str">
        <f aca="false">IF((LEN(A749)+LEN(B749)+LEN(C749)+LEN(D749)+LEN(E749)+LEN(F749)+LEN(G749)+LEN(H749)+LEN(I749)+LEN(J749)+LEN(K749)+LEN(M749)+LEN(N749)+LEN(O749)+LEN(P749)+LEN(Q749)+LEN(R749)+LEN(S749)+LEN(T749))=0,"",IF(OR(A749="",B749="",C749="",D749="",E749="",J749="",K749="",N749=""),"⚠ Champ obligatoire manquant",IF(AND(ISNUMBER(K749),ISNUMBER(J749),N(K749)&gt;N(J749)),"⚠ Prix Autopiec &gt; prix public",IF(COUNTIFS($A$2:$A$1001,A749,$B$2:$B$1001,B749)&gt;1,"⚠ Référence en double","✔ OK"))))</f>
        <v/>
      </c>
    </row>
    <row r="750" customFormat="false" ht="15" hidden="false" customHeight="false" outlineLevel="0" collapsed="false">
      <c r="A750" s="11"/>
      <c r="B750" s="27"/>
      <c r="C750" s="11"/>
      <c r="D750" s="11"/>
      <c r="E750" s="11"/>
      <c r="F750" s="27"/>
      <c r="G750" s="27"/>
      <c r="H750" s="11"/>
      <c r="I750" s="11"/>
      <c r="J750" s="12"/>
      <c r="K750" s="12"/>
      <c r="L750" s="28" t="str">
        <f aca="false">IF(AND(ISNUMBER(J750),ISNUMBER(K750),N(J750)&gt;0),1-K750/J750,"")</f>
        <v/>
      </c>
      <c r="M750" s="29"/>
      <c r="N750" s="30"/>
      <c r="O750" s="30"/>
      <c r="P750" s="11"/>
      <c r="Q750" s="31"/>
      <c r="R750" s="11"/>
      <c r="S750" s="11"/>
      <c r="T750" s="11"/>
      <c r="U750" s="32" t="str">
        <f aca="false">IF((LEN(A750)+LEN(B750)+LEN(C750)+LEN(D750)+LEN(E750)+LEN(F750)+LEN(G750)+LEN(H750)+LEN(I750)+LEN(J750)+LEN(K750)+LEN(M750)+LEN(N750)+LEN(O750)+LEN(P750)+LEN(Q750)+LEN(R750)+LEN(S750)+LEN(T750))=0,"",IF(OR(A750="",B750="",C750="",D750="",E750="",J750="",K750="",N750=""),"⚠ Champ obligatoire manquant",IF(AND(ISNUMBER(K750),ISNUMBER(J750),N(K750)&gt;N(J750)),"⚠ Prix Autopiec &gt; prix public",IF(COUNTIFS($A$2:$A$1001,A750,$B$2:$B$1001,B750)&gt;1,"⚠ Référence en double","✔ OK"))))</f>
        <v/>
      </c>
    </row>
    <row r="751" customFormat="false" ht="15" hidden="false" customHeight="false" outlineLevel="0" collapsed="false">
      <c r="A751" s="11"/>
      <c r="B751" s="27"/>
      <c r="C751" s="11"/>
      <c r="D751" s="11"/>
      <c r="E751" s="11"/>
      <c r="F751" s="27"/>
      <c r="G751" s="27"/>
      <c r="H751" s="11"/>
      <c r="I751" s="11"/>
      <c r="J751" s="12"/>
      <c r="K751" s="12"/>
      <c r="L751" s="28" t="str">
        <f aca="false">IF(AND(ISNUMBER(J751),ISNUMBER(K751),N(J751)&gt;0),1-K751/J751,"")</f>
        <v/>
      </c>
      <c r="M751" s="29"/>
      <c r="N751" s="30"/>
      <c r="O751" s="30"/>
      <c r="P751" s="11"/>
      <c r="Q751" s="31"/>
      <c r="R751" s="11"/>
      <c r="S751" s="11"/>
      <c r="T751" s="11"/>
      <c r="U751" s="32" t="str">
        <f aca="false">IF((LEN(A751)+LEN(B751)+LEN(C751)+LEN(D751)+LEN(E751)+LEN(F751)+LEN(G751)+LEN(H751)+LEN(I751)+LEN(J751)+LEN(K751)+LEN(M751)+LEN(N751)+LEN(O751)+LEN(P751)+LEN(Q751)+LEN(R751)+LEN(S751)+LEN(T751))=0,"",IF(OR(A751="",B751="",C751="",D751="",E751="",J751="",K751="",N751=""),"⚠ Champ obligatoire manquant",IF(AND(ISNUMBER(K751),ISNUMBER(J751),N(K751)&gt;N(J751)),"⚠ Prix Autopiec &gt; prix public",IF(COUNTIFS($A$2:$A$1001,A751,$B$2:$B$1001,B751)&gt;1,"⚠ Référence en double","✔ OK"))))</f>
        <v/>
      </c>
    </row>
    <row r="752" customFormat="false" ht="15" hidden="false" customHeight="false" outlineLevel="0" collapsed="false">
      <c r="A752" s="11"/>
      <c r="B752" s="27"/>
      <c r="C752" s="11"/>
      <c r="D752" s="11"/>
      <c r="E752" s="11"/>
      <c r="F752" s="27"/>
      <c r="G752" s="27"/>
      <c r="H752" s="11"/>
      <c r="I752" s="11"/>
      <c r="J752" s="12"/>
      <c r="K752" s="12"/>
      <c r="L752" s="28" t="str">
        <f aca="false">IF(AND(ISNUMBER(J752),ISNUMBER(K752),N(J752)&gt;0),1-K752/J752,"")</f>
        <v/>
      </c>
      <c r="M752" s="29"/>
      <c r="N752" s="30"/>
      <c r="O752" s="30"/>
      <c r="P752" s="11"/>
      <c r="Q752" s="31"/>
      <c r="R752" s="11"/>
      <c r="S752" s="11"/>
      <c r="T752" s="11"/>
      <c r="U752" s="32" t="str">
        <f aca="false">IF((LEN(A752)+LEN(B752)+LEN(C752)+LEN(D752)+LEN(E752)+LEN(F752)+LEN(G752)+LEN(H752)+LEN(I752)+LEN(J752)+LEN(K752)+LEN(M752)+LEN(N752)+LEN(O752)+LEN(P752)+LEN(Q752)+LEN(R752)+LEN(S752)+LEN(T752))=0,"",IF(OR(A752="",B752="",C752="",D752="",E752="",J752="",K752="",N752=""),"⚠ Champ obligatoire manquant",IF(AND(ISNUMBER(K752),ISNUMBER(J752),N(K752)&gt;N(J752)),"⚠ Prix Autopiec &gt; prix public",IF(COUNTIFS($A$2:$A$1001,A752,$B$2:$B$1001,B752)&gt;1,"⚠ Référence en double","✔ OK"))))</f>
        <v/>
      </c>
    </row>
    <row r="753" customFormat="false" ht="15" hidden="false" customHeight="false" outlineLevel="0" collapsed="false">
      <c r="A753" s="11"/>
      <c r="B753" s="27"/>
      <c r="C753" s="11"/>
      <c r="D753" s="11"/>
      <c r="E753" s="11"/>
      <c r="F753" s="27"/>
      <c r="G753" s="27"/>
      <c r="H753" s="11"/>
      <c r="I753" s="11"/>
      <c r="J753" s="12"/>
      <c r="K753" s="12"/>
      <c r="L753" s="28" t="str">
        <f aca="false">IF(AND(ISNUMBER(J753),ISNUMBER(K753),N(J753)&gt;0),1-K753/J753,"")</f>
        <v/>
      </c>
      <c r="M753" s="29"/>
      <c r="N753" s="30"/>
      <c r="O753" s="30"/>
      <c r="P753" s="11"/>
      <c r="Q753" s="31"/>
      <c r="R753" s="11"/>
      <c r="S753" s="11"/>
      <c r="T753" s="11"/>
      <c r="U753" s="32" t="str">
        <f aca="false">IF((LEN(A753)+LEN(B753)+LEN(C753)+LEN(D753)+LEN(E753)+LEN(F753)+LEN(G753)+LEN(H753)+LEN(I753)+LEN(J753)+LEN(K753)+LEN(M753)+LEN(N753)+LEN(O753)+LEN(P753)+LEN(Q753)+LEN(R753)+LEN(S753)+LEN(T753))=0,"",IF(OR(A753="",B753="",C753="",D753="",E753="",J753="",K753="",N753=""),"⚠ Champ obligatoire manquant",IF(AND(ISNUMBER(K753),ISNUMBER(J753),N(K753)&gt;N(J753)),"⚠ Prix Autopiec &gt; prix public",IF(COUNTIFS($A$2:$A$1001,A753,$B$2:$B$1001,B753)&gt;1,"⚠ Référence en double","✔ OK"))))</f>
        <v/>
      </c>
    </row>
    <row r="754" customFormat="false" ht="15" hidden="false" customHeight="false" outlineLevel="0" collapsed="false">
      <c r="A754" s="11"/>
      <c r="B754" s="27"/>
      <c r="C754" s="11"/>
      <c r="D754" s="11"/>
      <c r="E754" s="11"/>
      <c r="F754" s="27"/>
      <c r="G754" s="27"/>
      <c r="H754" s="11"/>
      <c r="I754" s="11"/>
      <c r="J754" s="12"/>
      <c r="K754" s="12"/>
      <c r="L754" s="28" t="str">
        <f aca="false">IF(AND(ISNUMBER(J754),ISNUMBER(K754),N(J754)&gt;0),1-K754/J754,"")</f>
        <v/>
      </c>
      <c r="M754" s="29"/>
      <c r="N754" s="30"/>
      <c r="O754" s="30"/>
      <c r="P754" s="11"/>
      <c r="Q754" s="31"/>
      <c r="R754" s="11"/>
      <c r="S754" s="11"/>
      <c r="T754" s="11"/>
      <c r="U754" s="32" t="str">
        <f aca="false">IF((LEN(A754)+LEN(B754)+LEN(C754)+LEN(D754)+LEN(E754)+LEN(F754)+LEN(G754)+LEN(H754)+LEN(I754)+LEN(J754)+LEN(K754)+LEN(M754)+LEN(N754)+LEN(O754)+LEN(P754)+LEN(Q754)+LEN(R754)+LEN(S754)+LEN(T754))=0,"",IF(OR(A754="",B754="",C754="",D754="",E754="",J754="",K754="",N754=""),"⚠ Champ obligatoire manquant",IF(AND(ISNUMBER(K754),ISNUMBER(J754),N(K754)&gt;N(J754)),"⚠ Prix Autopiec &gt; prix public",IF(COUNTIFS($A$2:$A$1001,A754,$B$2:$B$1001,B754)&gt;1,"⚠ Référence en double","✔ OK"))))</f>
        <v/>
      </c>
    </row>
    <row r="755" customFormat="false" ht="15" hidden="false" customHeight="false" outlineLevel="0" collapsed="false">
      <c r="A755" s="11"/>
      <c r="B755" s="27"/>
      <c r="C755" s="11"/>
      <c r="D755" s="11"/>
      <c r="E755" s="11"/>
      <c r="F755" s="27"/>
      <c r="G755" s="27"/>
      <c r="H755" s="11"/>
      <c r="I755" s="11"/>
      <c r="J755" s="12"/>
      <c r="K755" s="12"/>
      <c r="L755" s="28" t="str">
        <f aca="false">IF(AND(ISNUMBER(J755),ISNUMBER(K755),N(J755)&gt;0),1-K755/J755,"")</f>
        <v/>
      </c>
      <c r="M755" s="29"/>
      <c r="N755" s="30"/>
      <c r="O755" s="30"/>
      <c r="P755" s="11"/>
      <c r="Q755" s="31"/>
      <c r="R755" s="11"/>
      <c r="S755" s="11"/>
      <c r="T755" s="11"/>
      <c r="U755" s="32" t="str">
        <f aca="false">IF((LEN(A755)+LEN(B755)+LEN(C755)+LEN(D755)+LEN(E755)+LEN(F755)+LEN(G755)+LEN(H755)+LEN(I755)+LEN(J755)+LEN(K755)+LEN(M755)+LEN(N755)+LEN(O755)+LEN(P755)+LEN(Q755)+LEN(R755)+LEN(S755)+LEN(T755))=0,"",IF(OR(A755="",B755="",C755="",D755="",E755="",J755="",K755="",N755=""),"⚠ Champ obligatoire manquant",IF(AND(ISNUMBER(K755),ISNUMBER(J755),N(K755)&gt;N(J755)),"⚠ Prix Autopiec &gt; prix public",IF(COUNTIFS($A$2:$A$1001,A755,$B$2:$B$1001,B755)&gt;1,"⚠ Référence en double","✔ OK"))))</f>
        <v/>
      </c>
    </row>
    <row r="756" customFormat="false" ht="15" hidden="false" customHeight="false" outlineLevel="0" collapsed="false">
      <c r="A756" s="11"/>
      <c r="B756" s="27"/>
      <c r="C756" s="11"/>
      <c r="D756" s="11"/>
      <c r="E756" s="11"/>
      <c r="F756" s="27"/>
      <c r="G756" s="27"/>
      <c r="H756" s="11"/>
      <c r="I756" s="11"/>
      <c r="J756" s="12"/>
      <c r="K756" s="12"/>
      <c r="L756" s="28" t="str">
        <f aca="false">IF(AND(ISNUMBER(J756),ISNUMBER(K756),N(J756)&gt;0),1-K756/J756,"")</f>
        <v/>
      </c>
      <c r="M756" s="29"/>
      <c r="N756" s="30"/>
      <c r="O756" s="30"/>
      <c r="P756" s="11"/>
      <c r="Q756" s="31"/>
      <c r="R756" s="11"/>
      <c r="S756" s="11"/>
      <c r="T756" s="11"/>
      <c r="U756" s="32" t="str">
        <f aca="false">IF((LEN(A756)+LEN(B756)+LEN(C756)+LEN(D756)+LEN(E756)+LEN(F756)+LEN(G756)+LEN(H756)+LEN(I756)+LEN(J756)+LEN(K756)+LEN(M756)+LEN(N756)+LEN(O756)+LEN(P756)+LEN(Q756)+LEN(R756)+LEN(S756)+LEN(T756))=0,"",IF(OR(A756="",B756="",C756="",D756="",E756="",J756="",K756="",N756=""),"⚠ Champ obligatoire manquant",IF(AND(ISNUMBER(K756),ISNUMBER(J756),N(K756)&gt;N(J756)),"⚠ Prix Autopiec &gt; prix public",IF(COUNTIFS($A$2:$A$1001,A756,$B$2:$B$1001,B756)&gt;1,"⚠ Référence en double","✔ OK"))))</f>
        <v/>
      </c>
    </row>
    <row r="757" customFormat="false" ht="15" hidden="false" customHeight="false" outlineLevel="0" collapsed="false">
      <c r="A757" s="11"/>
      <c r="B757" s="27"/>
      <c r="C757" s="11"/>
      <c r="D757" s="11"/>
      <c r="E757" s="11"/>
      <c r="F757" s="27"/>
      <c r="G757" s="27"/>
      <c r="H757" s="11"/>
      <c r="I757" s="11"/>
      <c r="J757" s="12"/>
      <c r="K757" s="12"/>
      <c r="L757" s="28" t="str">
        <f aca="false">IF(AND(ISNUMBER(J757),ISNUMBER(K757),N(J757)&gt;0),1-K757/J757,"")</f>
        <v/>
      </c>
      <c r="M757" s="29"/>
      <c r="N757" s="30"/>
      <c r="O757" s="30"/>
      <c r="P757" s="11"/>
      <c r="Q757" s="31"/>
      <c r="R757" s="11"/>
      <c r="S757" s="11"/>
      <c r="T757" s="11"/>
      <c r="U757" s="32" t="str">
        <f aca="false">IF((LEN(A757)+LEN(B757)+LEN(C757)+LEN(D757)+LEN(E757)+LEN(F757)+LEN(G757)+LEN(H757)+LEN(I757)+LEN(J757)+LEN(K757)+LEN(M757)+LEN(N757)+LEN(O757)+LEN(P757)+LEN(Q757)+LEN(R757)+LEN(S757)+LEN(T757))=0,"",IF(OR(A757="",B757="",C757="",D757="",E757="",J757="",K757="",N757=""),"⚠ Champ obligatoire manquant",IF(AND(ISNUMBER(K757),ISNUMBER(J757),N(K757)&gt;N(J757)),"⚠ Prix Autopiec &gt; prix public",IF(COUNTIFS($A$2:$A$1001,A757,$B$2:$B$1001,B757)&gt;1,"⚠ Référence en double","✔ OK"))))</f>
        <v/>
      </c>
    </row>
    <row r="758" customFormat="false" ht="15" hidden="false" customHeight="false" outlineLevel="0" collapsed="false">
      <c r="A758" s="11"/>
      <c r="B758" s="27"/>
      <c r="C758" s="11"/>
      <c r="D758" s="11"/>
      <c r="E758" s="11"/>
      <c r="F758" s="27"/>
      <c r="G758" s="27"/>
      <c r="H758" s="11"/>
      <c r="I758" s="11"/>
      <c r="J758" s="12"/>
      <c r="K758" s="12"/>
      <c r="L758" s="28" t="str">
        <f aca="false">IF(AND(ISNUMBER(J758),ISNUMBER(K758),N(J758)&gt;0),1-K758/J758,"")</f>
        <v/>
      </c>
      <c r="M758" s="29"/>
      <c r="N758" s="30"/>
      <c r="O758" s="30"/>
      <c r="P758" s="11"/>
      <c r="Q758" s="31"/>
      <c r="R758" s="11"/>
      <c r="S758" s="11"/>
      <c r="T758" s="11"/>
      <c r="U758" s="32" t="str">
        <f aca="false">IF((LEN(A758)+LEN(B758)+LEN(C758)+LEN(D758)+LEN(E758)+LEN(F758)+LEN(G758)+LEN(H758)+LEN(I758)+LEN(J758)+LEN(K758)+LEN(M758)+LEN(N758)+LEN(O758)+LEN(P758)+LEN(Q758)+LEN(R758)+LEN(S758)+LEN(T758))=0,"",IF(OR(A758="",B758="",C758="",D758="",E758="",J758="",K758="",N758=""),"⚠ Champ obligatoire manquant",IF(AND(ISNUMBER(K758),ISNUMBER(J758),N(K758)&gt;N(J758)),"⚠ Prix Autopiec &gt; prix public",IF(COUNTIFS($A$2:$A$1001,A758,$B$2:$B$1001,B758)&gt;1,"⚠ Référence en double","✔ OK"))))</f>
        <v/>
      </c>
    </row>
    <row r="759" customFormat="false" ht="15" hidden="false" customHeight="false" outlineLevel="0" collapsed="false">
      <c r="A759" s="11"/>
      <c r="B759" s="27"/>
      <c r="C759" s="11"/>
      <c r="D759" s="11"/>
      <c r="E759" s="11"/>
      <c r="F759" s="27"/>
      <c r="G759" s="27"/>
      <c r="H759" s="11"/>
      <c r="I759" s="11"/>
      <c r="J759" s="12"/>
      <c r="K759" s="12"/>
      <c r="L759" s="28" t="str">
        <f aca="false">IF(AND(ISNUMBER(J759),ISNUMBER(K759),N(J759)&gt;0),1-K759/J759,"")</f>
        <v/>
      </c>
      <c r="M759" s="29"/>
      <c r="N759" s="30"/>
      <c r="O759" s="30"/>
      <c r="P759" s="11"/>
      <c r="Q759" s="31"/>
      <c r="R759" s="11"/>
      <c r="S759" s="11"/>
      <c r="T759" s="11"/>
      <c r="U759" s="32" t="str">
        <f aca="false">IF((LEN(A759)+LEN(B759)+LEN(C759)+LEN(D759)+LEN(E759)+LEN(F759)+LEN(G759)+LEN(H759)+LEN(I759)+LEN(J759)+LEN(K759)+LEN(M759)+LEN(N759)+LEN(O759)+LEN(P759)+LEN(Q759)+LEN(R759)+LEN(S759)+LEN(T759))=0,"",IF(OR(A759="",B759="",C759="",D759="",E759="",J759="",K759="",N759=""),"⚠ Champ obligatoire manquant",IF(AND(ISNUMBER(K759),ISNUMBER(J759),N(K759)&gt;N(J759)),"⚠ Prix Autopiec &gt; prix public",IF(COUNTIFS($A$2:$A$1001,A759,$B$2:$B$1001,B759)&gt;1,"⚠ Référence en double","✔ OK"))))</f>
        <v/>
      </c>
    </row>
    <row r="760" customFormat="false" ht="15" hidden="false" customHeight="false" outlineLevel="0" collapsed="false">
      <c r="A760" s="11"/>
      <c r="B760" s="27"/>
      <c r="C760" s="11"/>
      <c r="D760" s="11"/>
      <c r="E760" s="11"/>
      <c r="F760" s="27"/>
      <c r="G760" s="27"/>
      <c r="H760" s="11"/>
      <c r="I760" s="11"/>
      <c r="J760" s="12"/>
      <c r="K760" s="12"/>
      <c r="L760" s="28" t="str">
        <f aca="false">IF(AND(ISNUMBER(J760),ISNUMBER(K760),N(J760)&gt;0),1-K760/J760,"")</f>
        <v/>
      </c>
      <c r="M760" s="29"/>
      <c r="N760" s="30"/>
      <c r="O760" s="30"/>
      <c r="P760" s="11"/>
      <c r="Q760" s="31"/>
      <c r="R760" s="11"/>
      <c r="S760" s="11"/>
      <c r="T760" s="11"/>
      <c r="U760" s="32" t="str">
        <f aca="false">IF((LEN(A760)+LEN(B760)+LEN(C760)+LEN(D760)+LEN(E760)+LEN(F760)+LEN(G760)+LEN(H760)+LEN(I760)+LEN(J760)+LEN(K760)+LEN(M760)+LEN(N760)+LEN(O760)+LEN(P760)+LEN(Q760)+LEN(R760)+LEN(S760)+LEN(T760))=0,"",IF(OR(A760="",B760="",C760="",D760="",E760="",J760="",K760="",N760=""),"⚠ Champ obligatoire manquant",IF(AND(ISNUMBER(K760),ISNUMBER(J760),N(K760)&gt;N(J760)),"⚠ Prix Autopiec &gt; prix public",IF(COUNTIFS($A$2:$A$1001,A760,$B$2:$B$1001,B760)&gt;1,"⚠ Référence en double","✔ OK"))))</f>
        <v/>
      </c>
    </row>
    <row r="761" customFormat="false" ht="15" hidden="false" customHeight="false" outlineLevel="0" collapsed="false">
      <c r="A761" s="11"/>
      <c r="B761" s="27"/>
      <c r="C761" s="11"/>
      <c r="D761" s="11"/>
      <c r="E761" s="11"/>
      <c r="F761" s="27"/>
      <c r="G761" s="27"/>
      <c r="H761" s="11"/>
      <c r="I761" s="11"/>
      <c r="J761" s="12"/>
      <c r="K761" s="12"/>
      <c r="L761" s="28" t="str">
        <f aca="false">IF(AND(ISNUMBER(J761),ISNUMBER(K761),N(J761)&gt;0),1-K761/J761,"")</f>
        <v/>
      </c>
      <c r="M761" s="29"/>
      <c r="N761" s="30"/>
      <c r="O761" s="30"/>
      <c r="P761" s="11"/>
      <c r="Q761" s="31"/>
      <c r="R761" s="11"/>
      <c r="S761" s="11"/>
      <c r="T761" s="11"/>
      <c r="U761" s="32" t="str">
        <f aca="false">IF((LEN(A761)+LEN(B761)+LEN(C761)+LEN(D761)+LEN(E761)+LEN(F761)+LEN(G761)+LEN(H761)+LEN(I761)+LEN(J761)+LEN(K761)+LEN(M761)+LEN(N761)+LEN(O761)+LEN(P761)+LEN(Q761)+LEN(R761)+LEN(S761)+LEN(T761))=0,"",IF(OR(A761="",B761="",C761="",D761="",E761="",J761="",K761="",N761=""),"⚠ Champ obligatoire manquant",IF(AND(ISNUMBER(K761),ISNUMBER(J761),N(K761)&gt;N(J761)),"⚠ Prix Autopiec &gt; prix public",IF(COUNTIFS($A$2:$A$1001,A761,$B$2:$B$1001,B761)&gt;1,"⚠ Référence en double","✔ OK"))))</f>
        <v/>
      </c>
    </row>
    <row r="762" customFormat="false" ht="15" hidden="false" customHeight="false" outlineLevel="0" collapsed="false">
      <c r="A762" s="11"/>
      <c r="B762" s="27"/>
      <c r="C762" s="11"/>
      <c r="D762" s="11"/>
      <c r="E762" s="11"/>
      <c r="F762" s="27"/>
      <c r="G762" s="27"/>
      <c r="H762" s="11"/>
      <c r="I762" s="11"/>
      <c r="J762" s="12"/>
      <c r="K762" s="12"/>
      <c r="L762" s="28" t="str">
        <f aca="false">IF(AND(ISNUMBER(J762),ISNUMBER(K762),N(J762)&gt;0),1-K762/J762,"")</f>
        <v/>
      </c>
      <c r="M762" s="29"/>
      <c r="N762" s="30"/>
      <c r="O762" s="30"/>
      <c r="P762" s="11"/>
      <c r="Q762" s="31"/>
      <c r="R762" s="11"/>
      <c r="S762" s="11"/>
      <c r="T762" s="11"/>
      <c r="U762" s="32" t="str">
        <f aca="false">IF((LEN(A762)+LEN(B762)+LEN(C762)+LEN(D762)+LEN(E762)+LEN(F762)+LEN(G762)+LEN(H762)+LEN(I762)+LEN(J762)+LEN(K762)+LEN(M762)+LEN(N762)+LEN(O762)+LEN(P762)+LEN(Q762)+LEN(R762)+LEN(S762)+LEN(T762))=0,"",IF(OR(A762="",B762="",C762="",D762="",E762="",J762="",K762="",N762=""),"⚠ Champ obligatoire manquant",IF(AND(ISNUMBER(K762),ISNUMBER(J762),N(K762)&gt;N(J762)),"⚠ Prix Autopiec &gt; prix public",IF(COUNTIFS($A$2:$A$1001,A762,$B$2:$B$1001,B762)&gt;1,"⚠ Référence en double","✔ OK"))))</f>
        <v/>
      </c>
    </row>
    <row r="763" customFormat="false" ht="15" hidden="false" customHeight="false" outlineLevel="0" collapsed="false">
      <c r="A763" s="11"/>
      <c r="B763" s="27"/>
      <c r="C763" s="11"/>
      <c r="D763" s="11"/>
      <c r="E763" s="11"/>
      <c r="F763" s="27"/>
      <c r="G763" s="27"/>
      <c r="H763" s="11"/>
      <c r="I763" s="11"/>
      <c r="J763" s="12"/>
      <c r="K763" s="12"/>
      <c r="L763" s="28" t="str">
        <f aca="false">IF(AND(ISNUMBER(J763),ISNUMBER(K763),N(J763)&gt;0),1-K763/J763,"")</f>
        <v/>
      </c>
      <c r="M763" s="29"/>
      <c r="N763" s="30"/>
      <c r="O763" s="30"/>
      <c r="P763" s="11"/>
      <c r="Q763" s="31"/>
      <c r="R763" s="11"/>
      <c r="S763" s="11"/>
      <c r="T763" s="11"/>
      <c r="U763" s="32" t="str">
        <f aca="false">IF((LEN(A763)+LEN(B763)+LEN(C763)+LEN(D763)+LEN(E763)+LEN(F763)+LEN(G763)+LEN(H763)+LEN(I763)+LEN(J763)+LEN(K763)+LEN(M763)+LEN(N763)+LEN(O763)+LEN(P763)+LEN(Q763)+LEN(R763)+LEN(S763)+LEN(T763))=0,"",IF(OR(A763="",B763="",C763="",D763="",E763="",J763="",K763="",N763=""),"⚠ Champ obligatoire manquant",IF(AND(ISNUMBER(K763),ISNUMBER(J763),N(K763)&gt;N(J763)),"⚠ Prix Autopiec &gt; prix public",IF(COUNTIFS($A$2:$A$1001,A763,$B$2:$B$1001,B763)&gt;1,"⚠ Référence en double","✔ OK"))))</f>
        <v/>
      </c>
    </row>
    <row r="764" customFormat="false" ht="15" hidden="false" customHeight="false" outlineLevel="0" collapsed="false">
      <c r="A764" s="11"/>
      <c r="B764" s="27"/>
      <c r="C764" s="11"/>
      <c r="D764" s="11"/>
      <c r="E764" s="11"/>
      <c r="F764" s="27"/>
      <c r="G764" s="27"/>
      <c r="H764" s="11"/>
      <c r="I764" s="11"/>
      <c r="J764" s="12"/>
      <c r="K764" s="12"/>
      <c r="L764" s="28" t="str">
        <f aca="false">IF(AND(ISNUMBER(J764),ISNUMBER(K764),N(J764)&gt;0),1-K764/J764,"")</f>
        <v/>
      </c>
      <c r="M764" s="29"/>
      <c r="N764" s="30"/>
      <c r="O764" s="30"/>
      <c r="P764" s="11"/>
      <c r="Q764" s="31"/>
      <c r="R764" s="11"/>
      <c r="S764" s="11"/>
      <c r="T764" s="11"/>
      <c r="U764" s="32" t="str">
        <f aca="false">IF((LEN(A764)+LEN(B764)+LEN(C764)+LEN(D764)+LEN(E764)+LEN(F764)+LEN(G764)+LEN(H764)+LEN(I764)+LEN(J764)+LEN(K764)+LEN(M764)+LEN(N764)+LEN(O764)+LEN(P764)+LEN(Q764)+LEN(R764)+LEN(S764)+LEN(T764))=0,"",IF(OR(A764="",B764="",C764="",D764="",E764="",J764="",K764="",N764=""),"⚠ Champ obligatoire manquant",IF(AND(ISNUMBER(K764),ISNUMBER(J764),N(K764)&gt;N(J764)),"⚠ Prix Autopiec &gt; prix public",IF(COUNTIFS($A$2:$A$1001,A764,$B$2:$B$1001,B764)&gt;1,"⚠ Référence en double","✔ OK"))))</f>
        <v/>
      </c>
    </row>
    <row r="765" customFormat="false" ht="15" hidden="false" customHeight="false" outlineLevel="0" collapsed="false">
      <c r="A765" s="11"/>
      <c r="B765" s="27"/>
      <c r="C765" s="11"/>
      <c r="D765" s="11"/>
      <c r="E765" s="11"/>
      <c r="F765" s="27"/>
      <c r="G765" s="27"/>
      <c r="H765" s="11"/>
      <c r="I765" s="11"/>
      <c r="J765" s="12"/>
      <c r="K765" s="12"/>
      <c r="L765" s="28" t="str">
        <f aca="false">IF(AND(ISNUMBER(J765),ISNUMBER(K765),N(J765)&gt;0),1-K765/J765,"")</f>
        <v/>
      </c>
      <c r="M765" s="29"/>
      <c r="N765" s="30"/>
      <c r="O765" s="30"/>
      <c r="P765" s="11"/>
      <c r="Q765" s="31"/>
      <c r="R765" s="11"/>
      <c r="S765" s="11"/>
      <c r="T765" s="11"/>
      <c r="U765" s="32" t="str">
        <f aca="false">IF((LEN(A765)+LEN(B765)+LEN(C765)+LEN(D765)+LEN(E765)+LEN(F765)+LEN(G765)+LEN(H765)+LEN(I765)+LEN(J765)+LEN(K765)+LEN(M765)+LEN(N765)+LEN(O765)+LEN(P765)+LEN(Q765)+LEN(R765)+LEN(S765)+LEN(T765))=0,"",IF(OR(A765="",B765="",C765="",D765="",E765="",J765="",K765="",N765=""),"⚠ Champ obligatoire manquant",IF(AND(ISNUMBER(K765),ISNUMBER(J765),N(K765)&gt;N(J765)),"⚠ Prix Autopiec &gt; prix public",IF(COUNTIFS($A$2:$A$1001,A765,$B$2:$B$1001,B765)&gt;1,"⚠ Référence en double","✔ OK"))))</f>
        <v/>
      </c>
    </row>
    <row r="766" customFormat="false" ht="15" hidden="false" customHeight="false" outlineLevel="0" collapsed="false">
      <c r="A766" s="11"/>
      <c r="B766" s="27"/>
      <c r="C766" s="11"/>
      <c r="D766" s="11"/>
      <c r="E766" s="11"/>
      <c r="F766" s="27"/>
      <c r="G766" s="27"/>
      <c r="H766" s="11"/>
      <c r="I766" s="11"/>
      <c r="J766" s="12"/>
      <c r="K766" s="12"/>
      <c r="L766" s="28" t="str">
        <f aca="false">IF(AND(ISNUMBER(J766),ISNUMBER(K766),N(J766)&gt;0),1-K766/J766,"")</f>
        <v/>
      </c>
      <c r="M766" s="29"/>
      <c r="N766" s="30"/>
      <c r="O766" s="30"/>
      <c r="P766" s="11"/>
      <c r="Q766" s="31"/>
      <c r="R766" s="11"/>
      <c r="S766" s="11"/>
      <c r="T766" s="11"/>
      <c r="U766" s="32" t="str">
        <f aca="false">IF((LEN(A766)+LEN(B766)+LEN(C766)+LEN(D766)+LEN(E766)+LEN(F766)+LEN(G766)+LEN(H766)+LEN(I766)+LEN(J766)+LEN(K766)+LEN(M766)+LEN(N766)+LEN(O766)+LEN(P766)+LEN(Q766)+LEN(R766)+LEN(S766)+LEN(T766))=0,"",IF(OR(A766="",B766="",C766="",D766="",E766="",J766="",K766="",N766=""),"⚠ Champ obligatoire manquant",IF(AND(ISNUMBER(K766),ISNUMBER(J766),N(K766)&gt;N(J766)),"⚠ Prix Autopiec &gt; prix public",IF(COUNTIFS($A$2:$A$1001,A766,$B$2:$B$1001,B766)&gt;1,"⚠ Référence en double","✔ OK"))))</f>
        <v/>
      </c>
    </row>
    <row r="767" customFormat="false" ht="15" hidden="false" customHeight="false" outlineLevel="0" collapsed="false">
      <c r="A767" s="11"/>
      <c r="B767" s="27"/>
      <c r="C767" s="11"/>
      <c r="D767" s="11"/>
      <c r="E767" s="11"/>
      <c r="F767" s="27"/>
      <c r="G767" s="27"/>
      <c r="H767" s="11"/>
      <c r="I767" s="11"/>
      <c r="J767" s="12"/>
      <c r="K767" s="12"/>
      <c r="L767" s="28" t="str">
        <f aca="false">IF(AND(ISNUMBER(J767),ISNUMBER(K767),N(J767)&gt;0),1-K767/J767,"")</f>
        <v/>
      </c>
      <c r="M767" s="29"/>
      <c r="N767" s="30"/>
      <c r="O767" s="30"/>
      <c r="P767" s="11"/>
      <c r="Q767" s="31"/>
      <c r="R767" s="11"/>
      <c r="S767" s="11"/>
      <c r="T767" s="11"/>
      <c r="U767" s="32" t="str">
        <f aca="false">IF((LEN(A767)+LEN(B767)+LEN(C767)+LEN(D767)+LEN(E767)+LEN(F767)+LEN(G767)+LEN(H767)+LEN(I767)+LEN(J767)+LEN(K767)+LEN(M767)+LEN(N767)+LEN(O767)+LEN(P767)+LEN(Q767)+LEN(R767)+LEN(S767)+LEN(T767))=0,"",IF(OR(A767="",B767="",C767="",D767="",E767="",J767="",K767="",N767=""),"⚠ Champ obligatoire manquant",IF(AND(ISNUMBER(K767),ISNUMBER(J767),N(K767)&gt;N(J767)),"⚠ Prix Autopiec &gt; prix public",IF(COUNTIFS($A$2:$A$1001,A767,$B$2:$B$1001,B767)&gt;1,"⚠ Référence en double","✔ OK"))))</f>
        <v/>
      </c>
    </row>
    <row r="768" customFormat="false" ht="15" hidden="false" customHeight="false" outlineLevel="0" collapsed="false">
      <c r="A768" s="11"/>
      <c r="B768" s="27"/>
      <c r="C768" s="11"/>
      <c r="D768" s="11"/>
      <c r="E768" s="11"/>
      <c r="F768" s="27"/>
      <c r="G768" s="27"/>
      <c r="H768" s="11"/>
      <c r="I768" s="11"/>
      <c r="J768" s="12"/>
      <c r="K768" s="12"/>
      <c r="L768" s="28" t="str">
        <f aca="false">IF(AND(ISNUMBER(J768),ISNUMBER(K768),N(J768)&gt;0),1-K768/J768,"")</f>
        <v/>
      </c>
      <c r="M768" s="29"/>
      <c r="N768" s="30"/>
      <c r="O768" s="30"/>
      <c r="P768" s="11"/>
      <c r="Q768" s="31"/>
      <c r="R768" s="11"/>
      <c r="S768" s="11"/>
      <c r="T768" s="11"/>
      <c r="U768" s="32" t="str">
        <f aca="false">IF((LEN(A768)+LEN(B768)+LEN(C768)+LEN(D768)+LEN(E768)+LEN(F768)+LEN(G768)+LEN(H768)+LEN(I768)+LEN(J768)+LEN(K768)+LEN(M768)+LEN(N768)+LEN(O768)+LEN(P768)+LEN(Q768)+LEN(R768)+LEN(S768)+LEN(T768))=0,"",IF(OR(A768="",B768="",C768="",D768="",E768="",J768="",K768="",N768=""),"⚠ Champ obligatoire manquant",IF(AND(ISNUMBER(K768),ISNUMBER(J768),N(K768)&gt;N(J768)),"⚠ Prix Autopiec &gt; prix public",IF(COUNTIFS($A$2:$A$1001,A768,$B$2:$B$1001,B768)&gt;1,"⚠ Référence en double","✔ OK"))))</f>
        <v/>
      </c>
    </row>
    <row r="769" customFormat="false" ht="15" hidden="false" customHeight="false" outlineLevel="0" collapsed="false">
      <c r="A769" s="11"/>
      <c r="B769" s="27"/>
      <c r="C769" s="11"/>
      <c r="D769" s="11"/>
      <c r="E769" s="11"/>
      <c r="F769" s="27"/>
      <c r="G769" s="27"/>
      <c r="H769" s="11"/>
      <c r="I769" s="11"/>
      <c r="J769" s="12"/>
      <c r="K769" s="12"/>
      <c r="L769" s="28" t="str">
        <f aca="false">IF(AND(ISNUMBER(J769),ISNUMBER(K769),N(J769)&gt;0),1-K769/J769,"")</f>
        <v/>
      </c>
      <c r="M769" s="29"/>
      <c r="N769" s="30"/>
      <c r="O769" s="30"/>
      <c r="P769" s="11"/>
      <c r="Q769" s="31"/>
      <c r="R769" s="11"/>
      <c r="S769" s="11"/>
      <c r="T769" s="11"/>
      <c r="U769" s="32" t="str">
        <f aca="false">IF((LEN(A769)+LEN(B769)+LEN(C769)+LEN(D769)+LEN(E769)+LEN(F769)+LEN(G769)+LEN(H769)+LEN(I769)+LEN(J769)+LEN(K769)+LEN(M769)+LEN(N769)+LEN(O769)+LEN(P769)+LEN(Q769)+LEN(R769)+LEN(S769)+LEN(T769))=0,"",IF(OR(A769="",B769="",C769="",D769="",E769="",J769="",K769="",N769=""),"⚠ Champ obligatoire manquant",IF(AND(ISNUMBER(K769),ISNUMBER(J769),N(K769)&gt;N(J769)),"⚠ Prix Autopiec &gt; prix public",IF(COUNTIFS($A$2:$A$1001,A769,$B$2:$B$1001,B769)&gt;1,"⚠ Référence en double","✔ OK"))))</f>
        <v/>
      </c>
    </row>
    <row r="770" customFormat="false" ht="15" hidden="false" customHeight="false" outlineLevel="0" collapsed="false">
      <c r="A770" s="11"/>
      <c r="B770" s="27"/>
      <c r="C770" s="11"/>
      <c r="D770" s="11"/>
      <c r="E770" s="11"/>
      <c r="F770" s="27"/>
      <c r="G770" s="27"/>
      <c r="H770" s="11"/>
      <c r="I770" s="11"/>
      <c r="J770" s="12"/>
      <c r="K770" s="12"/>
      <c r="L770" s="28" t="str">
        <f aca="false">IF(AND(ISNUMBER(J770),ISNUMBER(K770),N(J770)&gt;0),1-K770/J770,"")</f>
        <v/>
      </c>
      <c r="M770" s="29"/>
      <c r="N770" s="30"/>
      <c r="O770" s="30"/>
      <c r="P770" s="11"/>
      <c r="Q770" s="31"/>
      <c r="R770" s="11"/>
      <c r="S770" s="11"/>
      <c r="T770" s="11"/>
      <c r="U770" s="32" t="str">
        <f aca="false">IF((LEN(A770)+LEN(B770)+LEN(C770)+LEN(D770)+LEN(E770)+LEN(F770)+LEN(G770)+LEN(H770)+LEN(I770)+LEN(J770)+LEN(K770)+LEN(M770)+LEN(N770)+LEN(O770)+LEN(P770)+LEN(Q770)+LEN(R770)+LEN(S770)+LEN(T770))=0,"",IF(OR(A770="",B770="",C770="",D770="",E770="",J770="",K770="",N770=""),"⚠ Champ obligatoire manquant",IF(AND(ISNUMBER(K770),ISNUMBER(J770),N(K770)&gt;N(J770)),"⚠ Prix Autopiec &gt; prix public",IF(COUNTIFS($A$2:$A$1001,A770,$B$2:$B$1001,B770)&gt;1,"⚠ Référence en double","✔ OK"))))</f>
        <v/>
      </c>
    </row>
    <row r="771" customFormat="false" ht="15" hidden="false" customHeight="false" outlineLevel="0" collapsed="false">
      <c r="A771" s="11"/>
      <c r="B771" s="27"/>
      <c r="C771" s="11"/>
      <c r="D771" s="11"/>
      <c r="E771" s="11"/>
      <c r="F771" s="27"/>
      <c r="G771" s="27"/>
      <c r="H771" s="11"/>
      <c r="I771" s="11"/>
      <c r="J771" s="12"/>
      <c r="K771" s="12"/>
      <c r="L771" s="28" t="str">
        <f aca="false">IF(AND(ISNUMBER(J771),ISNUMBER(K771),N(J771)&gt;0),1-K771/J771,"")</f>
        <v/>
      </c>
      <c r="M771" s="29"/>
      <c r="N771" s="30"/>
      <c r="O771" s="30"/>
      <c r="P771" s="11"/>
      <c r="Q771" s="31"/>
      <c r="R771" s="11"/>
      <c r="S771" s="11"/>
      <c r="T771" s="11"/>
      <c r="U771" s="32" t="str">
        <f aca="false">IF((LEN(A771)+LEN(B771)+LEN(C771)+LEN(D771)+LEN(E771)+LEN(F771)+LEN(G771)+LEN(H771)+LEN(I771)+LEN(J771)+LEN(K771)+LEN(M771)+LEN(N771)+LEN(O771)+LEN(P771)+LEN(Q771)+LEN(R771)+LEN(S771)+LEN(T771))=0,"",IF(OR(A771="",B771="",C771="",D771="",E771="",J771="",K771="",N771=""),"⚠ Champ obligatoire manquant",IF(AND(ISNUMBER(K771),ISNUMBER(J771),N(K771)&gt;N(J771)),"⚠ Prix Autopiec &gt; prix public",IF(COUNTIFS($A$2:$A$1001,A771,$B$2:$B$1001,B771)&gt;1,"⚠ Référence en double","✔ OK"))))</f>
        <v/>
      </c>
    </row>
    <row r="772" customFormat="false" ht="15" hidden="false" customHeight="false" outlineLevel="0" collapsed="false">
      <c r="A772" s="11"/>
      <c r="B772" s="27"/>
      <c r="C772" s="11"/>
      <c r="D772" s="11"/>
      <c r="E772" s="11"/>
      <c r="F772" s="27"/>
      <c r="G772" s="27"/>
      <c r="H772" s="11"/>
      <c r="I772" s="11"/>
      <c r="J772" s="12"/>
      <c r="K772" s="12"/>
      <c r="L772" s="28" t="str">
        <f aca="false">IF(AND(ISNUMBER(J772),ISNUMBER(K772),N(J772)&gt;0),1-K772/J772,"")</f>
        <v/>
      </c>
      <c r="M772" s="29"/>
      <c r="N772" s="30"/>
      <c r="O772" s="30"/>
      <c r="P772" s="11"/>
      <c r="Q772" s="31"/>
      <c r="R772" s="11"/>
      <c r="S772" s="11"/>
      <c r="T772" s="11"/>
      <c r="U772" s="32" t="str">
        <f aca="false">IF((LEN(A772)+LEN(B772)+LEN(C772)+LEN(D772)+LEN(E772)+LEN(F772)+LEN(G772)+LEN(H772)+LEN(I772)+LEN(J772)+LEN(K772)+LEN(M772)+LEN(N772)+LEN(O772)+LEN(P772)+LEN(Q772)+LEN(R772)+LEN(S772)+LEN(T772))=0,"",IF(OR(A772="",B772="",C772="",D772="",E772="",J772="",K772="",N772=""),"⚠ Champ obligatoire manquant",IF(AND(ISNUMBER(K772),ISNUMBER(J772),N(K772)&gt;N(J772)),"⚠ Prix Autopiec &gt; prix public",IF(COUNTIFS($A$2:$A$1001,A772,$B$2:$B$1001,B772)&gt;1,"⚠ Référence en double","✔ OK"))))</f>
        <v/>
      </c>
    </row>
    <row r="773" customFormat="false" ht="15" hidden="false" customHeight="false" outlineLevel="0" collapsed="false">
      <c r="A773" s="11"/>
      <c r="B773" s="27"/>
      <c r="C773" s="11"/>
      <c r="D773" s="11"/>
      <c r="E773" s="11"/>
      <c r="F773" s="27"/>
      <c r="G773" s="27"/>
      <c r="H773" s="11"/>
      <c r="I773" s="11"/>
      <c r="J773" s="12"/>
      <c r="K773" s="12"/>
      <c r="L773" s="28" t="str">
        <f aca="false">IF(AND(ISNUMBER(J773),ISNUMBER(K773),N(J773)&gt;0),1-K773/J773,"")</f>
        <v/>
      </c>
      <c r="M773" s="29"/>
      <c r="N773" s="30"/>
      <c r="O773" s="30"/>
      <c r="P773" s="11"/>
      <c r="Q773" s="31"/>
      <c r="R773" s="11"/>
      <c r="S773" s="11"/>
      <c r="T773" s="11"/>
      <c r="U773" s="32" t="str">
        <f aca="false">IF((LEN(A773)+LEN(B773)+LEN(C773)+LEN(D773)+LEN(E773)+LEN(F773)+LEN(G773)+LEN(H773)+LEN(I773)+LEN(J773)+LEN(K773)+LEN(M773)+LEN(N773)+LEN(O773)+LEN(P773)+LEN(Q773)+LEN(R773)+LEN(S773)+LEN(T773))=0,"",IF(OR(A773="",B773="",C773="",D773="",E773="",J773="",K773="",N773=""),"⚠ Champ obligatoire manquant",IF(AND(ISNUMBER(K773),ISNUMBER(J773),N(K773)&gt;N(J773)),"⚠ Prix Autopiec &gt; prix public",IF(COUNTIFS($A$2:$A$1001,A773,$B$2:$B$1001,B773)&gt;1,"⚠ Référence en double","✔ OK"))))</f>
        <v/>
      </c>
    </row>
    <row r="774" customFormat="false" ht="15" hidden="false" customHeight="false" outlineLevel="0" collapsed="false">
      <c r="A774" s="11"/>
      <c r="B774" s="27"/>
      <c r="C774" s="11"/>
      <c r="D774" s="11"/>
      <c r="E774" s="11"/>
      <c r="F774" s="27"/>
      <c r="G774" s="27"/>
      <c r="H774" s="11"/>
      <c r="I774" s="11"/>
      <c r="J774" s="12"/>
      <c r="K774" s="12"/>
      <c r="L774" s="28" t="str">
        <f aca="false">IF(AND(ISNUMBER(J774),ISNUMBER(K774),N(J774)&gt;0),1-K774/J774,"")</f>
        <v/>
      </c>
      <c r="M774" s="29"/>
      <c r="N774" s="30"/>
      <c r="O774" s="30"/>
      <c r="P774" s="11"/>
      <c r="Q774" s="31"/>
      <c r="R774" s="11"/>
      <c r="S774" s="11"/>
      <c r="T774" s="11"/>
      <c r="U774" s="32" t="str">
        <f aca="false">IF((LEN(A774)+LEN(B774)+LEN(C774)+LEN(D774)+LEN(E774)+LEN(F774)+LEN(G774)+LEN(H774)+LEN(I774)+LEN(J774)+LEN(K774)+LEN(M774)+LEN(N774)+LEN(O774)+LEN(P774)+LEN(Q774)+LEN(R774)+LEN(S774)+LEN(T774))=0,"",IF(OR(A774="",B774="",C774="",D774="",E774="",J774="",K774="",N774=""),"⚠ Champ obligatoire manquant",IF(AND(ISNUMBER(K774),ISNUMBER(J774),N(K774)&gt;N(J774)),"⚠ Prix Autopiec &gt; prix public",IF(COUNTIFS($A$2:$A$1001,A774,$B$2:$B$1001,B774)&gt;1,"⚠ Référence en double","✔ OK"))))</f>
        <v/>
      </c>
    </row>
    <row r="775" customFormat="false" ht="15" hidden="false" customHeight="false" outlineLevel="0" collapsed="false">
      <c r="A775" s="11"/>
      <c r="B775" s="27"/>
      <c r="C775" s="11"/>
      <c r="D775" s="11"/>
      <c r="E775" s="11"/>
      <c r="F775" s="27"/>
      <c r="G775" s="27"/>
      <c r="H775" s="11"/>
      <c r="I775" s="11"/>
      <c r="J775" s="12"/>
      <c r="K775" s="12"/>
      <c r="L775" s="28" t="str">
        <f aca="false">IF(AND(ISNUMBER(J775),ISNUMBER(K775),N(J775)&gt;0),1-K775/J775,"")</f>
        <v/>
      </c>
      <c r="M775" s="29"/>
      <c r="N775" s="30"/>
      <c r="O775" s="30"/>
      <c r="P775" s="11"/>
      <c r="Q775" s="31"/>
      <c r="R775" s="11"/>
      <c r="S775" s="11"/>
      <c r="T775" s="11"/>
      <c r="U775" s="32" t="str">
        <f aca="false">IF((LEN(A775)+LEN(B775)+LEN(C775)+LEN(D775)+LEN(E775)+LEN(F775)+LEN(G775)+LEN(H775)+LEN(I775)+LEN(J775)+LEN(K775)+LEN(M775)+LEN(N775)+LEN(O775)+LEN(P775)+LEN(Q775)+LEN(R775)+LEN(S775)+LEN(T775))=0,"",IF(OR(A775="",B775="",C775="",D775="",E775="",J775="",K775="",N775=""),"⚠ Champ obligatoire manquant",IF(AND(ISNUMBER(K775),ISNUMBER(J775),N(K775)&gt;N(J775)),"⚠ Prix Autopiec &gt; prix public",IF(COUNTIFS($A$2:$A$1001,A775,$B$2:$B$1001,B775)&gt;1,"⚠ Référence en double","✔ OK"))))</f>
        <v/>
      </c>
    </row>
    <row r="776" customFormat="false" ht="15" hidden="false" customHeight="false" outlineLevel="0" collapsed="false">
      <c r="A776" s="11"/>
      <c r="B776" s="27"/>
      <c r="C776" s="11"/>
      <c r="D776" s="11"/>
      <c r="E776" s="11"/>
      <c r="F776" s="27"/>
      <c r="G776" s="27"/>
      <c r="H776" s="11"/>
      <c r="I776" s="11"/>
      <c r="J776" s="12"/>
      <c r="K776" s="12"/>
      <c r="L776" s="28" t="str">
        <f aca="false">IF(AND(ISNUMBER(J776),ISNUMBER(K776),N(J776)&gt;0),1-K776/J776,"")</f>
        <v/>
      </c>
      <c r="M776" s="29"/>
      <c r="N776" s="30"/>
      <c r="O776" s="30"/>
      <c r="P776" s="11"/>
      <c r="Q776" s="31"/>
      <c r="R776" s="11"/>
      <c r="S776" s="11"/>
      <c r="T776" s="11"/>
      <c r="U776" s="32" t="str">
        <f aca="false">IF((LEN(A776)+LEN(B776)+LEN(C776)+LEN(D776)+LEN(E776)+LEN(F776)+LEN(G776)+LEN(H776)+LEN(I776)+LEN(J776)+LEN(K776)+LEN(M776)+LEN(N776)+LEN(O776)+LEN(P776)+LEN(Q776)+LEN(R776)+LEN(S776)+LEN(T776))=0,"",IF(OR(A776="",B776="",C776="",D776="",E776="",J776="",K776="",N776=""),"⚠ Champ obligatoire manquant",IF(AND(ISNUMBER(K776),ISNUMBER(J776),N(K776)&gt;N(J776)),"⚠ Prix Autopiec &gt; prix public",IF(COUNTIFS($A$2:$A$1001,A776,$B$2:$B$1001,B776)&gt;1,"⚠ Référence en double","✔ OK"))))</f>
        <v/>
      </c>
    </row>
    <row r="777" customFormat="false" ht="15" hidden="false" customHeight="false" outlineLevel="0" collapsed="false">
      <c r="A777" s="11"/>
      <c r="B777" s="27"/>
      <c r="C777" s="11"/>
      <c r="D777" s="11"/>
      <c r="E777" s="11"/>
      <c r="F777" s="27"/>
      <c r="G777" s="27"/>
      <c r="H777" s="11"/>
      <c r="I777" s="11"/>
      <c r="J777" s="12"/>
      <c r="K777" s="12"/>
      <c r="L777" s="28" t="str">
        <f aca="false">IF(AND(ISNUMBER(J777),ISNUMBER(K777),N(J777)&gt;0),1-K777/J777,"")</f>
        <v/>
      </c>
      <c r="M777" s="29"/>
      <c r="N777" s="30"/>
      <c r="O777" s="30"/>
      <c r="P777" s="11"/>
      <c r="Q777" s="31"/>
      <c r="R777" s="11"/>
      <c r="S777" s="11"/>
      <c r="T777" s="11"/>
      <c r="U777" s="32" t="str">
        <f aca="false">IF((LEN(A777)+LEN(B777)+LEN(C777)+LEN(D777)+LEN(E777)+LEN(F777)+LEN(G777)+LEN(H777)+LEN(I777)+LEN(J777)+LEN(K777)+LEN(M777)+LEN(N777)+LEN(O777)+LEN(P777)+LEN(Q777)+LEN(R777)+LEN(S777)+LEN(T777))=0,"",IF(OR(A777="",B777="",C777="",D777="",E777="",J777="",K777="",N777=""),"⚠ Champ obligatoire manquant",IF(AND(ISNUMBER(K777),ISNUMBER(J777),N(K777)&gt;N(J777)),"⚠ Prix Autopiec &gt; prix public",IF(COUNTIFS($A$2:$A$1001,A777,$B$2:$B$1001,B777)&gt;1,"⚠ Référence en double","✔ OK"))))</f>
        <v/>
      </c>
    </row>
    <row r="778" customFormat="false" ht="15" hidden="false" customHeight="false" outlineLevel="0" collapsed="false">
      <c r="A778" s="11"/>
      <c r="B778" s="27"/>
      <c r="C778" s="11"/>
      <c r="D778" s="11"/>
      <c r="E778" s="11"/>
      <c r="F778" s="27"/>
      <c r="G778" s="27"/>
      <c r="H778" s="11"/>
      <c r="I778" s="11"/>
      <c r="J778" s="12"/>
      <c r="K778" s="12"/>
      <c r="L778" s="28" t="str">
        <f aca="false">IF(AND(ISNUMBER(J778),ISNUMBER(K778),N(J778)&gt;0),1-K778/J778,"")</f>
        <v/>
      </c>
      <c r="M778" s="29"/>
      <c r="N778" s="30"/>
      <c r="O778" s="30"/>
      <c r="P778" s="11"/>
      <c r="Q778" s="31"/>
      <c r="R778" s="11"/>
      <c r="S778" s="11"/>
      <c r="T778" s="11"/>
      <c r="U778" s="32" t="str">
        <f aca="false">IF((LEN(A778)+LEN(B778)+LEN(C778)+LEN(D778)+LEN(E778)+LEN(F778)+LEN(G778)+LEN(H778)+LEN(I778)+LEN(J778)+LEN(K778)+LEN(M778)+LEN(N778)+LEN(O778)+LEN(P778)+LEN(Q778)+LEN(R778)+LEN(S778)+LEN(T778))=0,"",IF(OR(A778="",B778="",C778="",D778="",E778="",J778="",K778="",N778=""),"⚠ Champ obligatoire manquant",IF(AND(ISNUMBER(K778),ISNUMBER(J778),N(K778)&gt;N(J778)),"⚠ Prix Autopiec &gt; prix public",IF(COUNTIFS($A$2:$A$1001,A778,$B$2:$B$1001,B778)&gt;1,"⚠ Référence en double","✔ OK"))))</f>
        <v/>
      </c>
    </row>
    <row r="779" customFormat="false" ht="15" hidden="false" customHeight="false" outlineLevel="0" collapsed="false">
      <c r="A779" s="11"/>
      <c r="B779" s="27"/>
      <c r="C779" s="11"/>
      <c r="D779" s="11"/>
      <c r="E779" s="11"/>
      <c r="F779" s="27"/>
      <c r="G779" s="27"/>
      <c r="H779" s="11"/>
      <c r="I779" s="11"/>
      <c r="J779" s="12"/>
      <c r="K779" s="12"/>
      <c r="L779" s="28" t="str">
        <f aca="false">IF(AND(ISNUMBER(J779),ISNUMBER(K779),N(J779)&gt;0),1-K779/J779,"")</f>
        <v/>
      </c>
      <c r="M779" s="29"/>
      <c r="N779" s="30"/>
      <c r="O779" s="30"/>
      <c r="P779" s="11"/>
      <c r="Q779" s="31"/>
      <c r="R779" s="11"/>
      <c r="S779" s="11"/>
      <c r="T779" s="11"/>
      <c r="U779" s="32" t="str">
        <f aca="false">IF((LEN(A779)+LEN(B779)+LEN(C779)+LEN(D779)+LEN(E779)+LEN(F779)+LEN(G779)+LEN(H779)+LEN(I779)+LEN(J779)+LEN(K779)+LEN(M779)+LEN(N779)+LEN(O779)+LEN(P779)+LEN(Q779)+LEN(R779)+LEN(S779)+LEN(T779))=0,"",IF(OR(A779="",B779="",C779="",D779="",E779="",J779="",K779="",N779=""),"⚠ Champ obligatoire manquant",IF(AND(ISNUMBER(K779),ISNUMBER(J779),N(K779)&gt;N(J779)),"⚠ Prix Autopiec &gt; prix public",IF(COUNTIFS($A$2:$A$1001,A779,$B$2:$B$1001,B779)&gt;1,"⚠ Référence en double","✔ OK"))))</f>
        <v/>
      </c>
    </row>
    <row r="780" customFormat="false" ht="15" hidden="false" customHeight="false" outlineLevel="0" collapsed="false">
      <c r="A780" s="11"/>
      <c r="B780" s="27"/>
      <c r="C780" s="11"/>
      <c r="D780" s="11"/>
      <c r="E780" s="11"/>
      <c r="F780" s="27"/>
      <c r="G780" s="27"/>
      <c r="H780" s="11"/>
      <c r="I780" s="11"/>
      <c r="J780" s="12"/>
      <c r="K780" s="12"/>
      <c r="L780" s="28" t="str">
        <f aca="false">IF(AND(ISNUMBER(J780),ISNUMBER(K780),N(J780)&gt;0),1-K780/J780,"")</f>
        <v/>
      </c>
      <c r="M780" s="29"/>
      <c r="N780" s="30"/>
      <c r="O780" s="30"/>
      <c r="P780" s="11"/>
      <c r="Q780" s="31"/>
      <c r="R780" s="11"/>
      <c r="S780" s="11"/>
      <c r="T780" s="11"/>
      <c r="U780" s="32" t="str">
        <f aca="false">IF((LEN(A780)+LEN(B780)+LEN(C780)+LEN(D780)+LEN(E780)+LEN(F780)+LEN(G780)+LEN(H780)+LEN(I780)+LEN(J780)+LEN(K780)+LEN(M780)+LEN(N780)+LEN(O780)+LEN(P780)+LEN(Q780)+LEN(R780)+LEN(S780)+LEN(T780))=0,"",IF(OR(A780="",B780="",C780="",D780="",E780="",J780="",K780="",N780=""),"⚠ Champ obligatoire manquant",IF(AND(ISNUMBER(K780),ISNUMBER(J780),N(K780)&gt;N(J780)),"⚠ Prix Autopiec &gt; prix public",IF(COUNTIFS($A$2:$A$1001,A780,$B$2:$B$1001,B780)&gt;1,"⚠ Référence en double","✔ OK"))))</f>
        <v/>
      </c>
    </row>
    <row r="781" customFormat="false" ht="15" hidden="false" customHeight="false" outlineLevel="0" collapsed="false">
      <c r="A781" s="11"/>
      <c r="B781" s="27"/>
      <c r="C781" s="11"/>
      <c r="D781" s="11"/>
      <c r="E781" s="11"/>
      <c r="F781" s="27"/>
      <c r="G781" s="27"/>
      <c r="H781" s="11"/>
      <c r="I781" s="11"/>
      <c r="J781" s="12"/>
      <c r="K781" s="12"/>
      <c r="L781" s="28" t="str">
        <f aca="false">IF(AND(ISNUMBER(J781),ISNUMBER(K781),N(J781)&gt;0),1-K781/J781,"")</f>
        <v/>
      </c>
      <c r="M781" s="29"/>
      <c r="N781" s="30"/>
      <c r="O781" s="30"/>
      <c r="P781" s="11"/>
      <c r="Q781" s="31"/>
      <c r="R781" s="11"/>
      <c r="S781" s="11"/>
      <c r="T781" s="11"/>
      <c r="U781" s="32" t="str">
        <f aca="false">IF((LEN(A781)+LEN(B781)+LEN(C781)+LEN(D781)+LEN(E781)+LEN(F781)+LEN(G781)+LEN(H781)+LEN(I781)+LEN(J781)+LEN(K781)+LEN(M781)+LEN(N781)+LEN(O781)+LEN(P781)+LEN(Q781)+LEN(R781)+LEN(S781)+LEN(T781))=0,"",IF(OR(A781="",B781="",C781="",D781="",E781="",J781="",K781="",N781=""),"⚠ Champ obligatoire manquant",IF(AND(ISNUMBER(K781),ISNUMBER(J781),N(K781)&gt;N(J781)),"⚠ Prix Autopiec &gt; prix public",IF(COUNTIFS($A$2:$A$1001,A781,$B$2:$B$1001,B781)&gt;1,"⚠ Référence en double","✔ OK"))))</f>
        <v/>
      </c>
    </row>
    <row r="782" customFormat="false" ht="15" hidden="false" customHeight="false" outlineLevel="0" collapsed="false">
      <c r="A782" s="11"/>
      <c r="B782" s="27"/>
      <c r="C782" s="11"/>
      <c r="D782" s="11"/>
      <c r="E782" s="11"/>
      <c r="F782" s="27"/>
      <c r="G782" s="27"/>
      <c r="H782" s="11"/>
      <c r="I782" s="11"/>
      <c r="J782" s="12"/>
      <c r="K782" s="12"/>
      <c r="L782" s="28" t="str">
        <f aca="false">IF(AND(ISNUMBER(J782),ISNUMBER(K782),N(J782)&gt;0),1-K782/J782,"")</f>
        <v/>
      </c>
      <c r="M782" s="29"/>
      <c r="N782" s="30"/>
      <c r="O782" s="30"/>
      <c r="P782" s="11"/>
      <c r="Q782" s="31"/>
      <c r="R782" s="11"/>
      <c r="S782" s="11"/>
      <c r="T782" s="11"/>
      <c r="U782" s="32" t="str">
        <f aca="false">IF((LEN(A782)+LEN(B782)+LEN(C782)+LEN(D782)+LEN(E782)+LEN(F782)+LEN(G782)+LEN(H782)+LEN(I782)+LEN(J782)+LEN(K782)+LEN(M782)+LEN(N782)+LEN(O782)+LEN(P782)+LEN(Q782)+LEN(R782)+LEN(S782)+LEN(T782))=0,"",IF(OR(A782="",B782="",C782="",D782="",E782="",J782="",K782="",N782=""),"⚠ Champ obligatoire manquant",IF(AND(ISNUMBER(K782),ISNUMBER(J782),N(K782)&gt;N(J782)),"⚠ Prix Autopiec &gt; prix public",IF(COUNTIFS($A$2:$A$1001,A782,$B$2:$B$1001,B782)&gt;1,"⚠ Référence en double","✔ OK"))))</f>
        <v/>
      </c>
    </row>
    <row r="783" customFormat="false" ht="15" hidden="false" customHeight="false" outlineLevel="0" collapsed="false">
      <c r="A783" s="11"/>
      <c r="B783" s="27"/>
      <c r="C783" s="11"/>
      <c r="D783" s="11"/>
      <c r="E783" s="11"/>
      <c r="F783" s="27"/>
      <c r="G783" s="27"/>
      <c r="H783" s="11"/>
      <c r="I783" s="11"/>
      <c r="J783" s="12"/>
      <c r="K783" s="12"/>
      <c r="L783" s="28" t="str">
        <f aca="false">IF(AND(ISNUMBER(J783),ISNUMBER(K783),N(J783)&gt;0),1-K783/J783,"")</f>
        <v/>
      </c>
      <c r="M783" s="29"/>
      <c r="N783" s="30"/>
      <c r="O783" s="30"/>
      <c r="P783" s="11"/>
      <c r="Q783" s="31"/>
      <c r="R783" s="11"/>
      <c r="S783" s="11"/>
      <c r="T783" s="11"/>
      <c r="U783" s="32" t="str">
        <f aca="false">IF((LEN(A783)+LEN(B783)+LEN(C783)+LEN(D783)+LEN(E783)+LEN(F783)+LEN(G783)+LEN(H783)+LEN(I783)+LEN(J783)+LEN(K783)+LEN(M783)+LEN(N783)+LEN(O783)+LEN(P783)+LEN(Q783)+LEN(R783)+LEN(S783)+LEN(T783))=0,"",IF(OR(A783="",B783="",C783="",D783="",E783="",J783="",K783="",N783=""),"⚠ Champ obligatoire manquant",IF(AND(ISNUMBER(K783),ISNUMBER(J783),N(K783)&gt;N(J783)),"⚠ Prix Autopiec &gt; prix public",IF(COUNTIFS($A$2:$A$1001,A783,$B$2:$B$1001,B783)&gt;1,"⚠ Référence en double","✔ OK"))))</f>
        <v/>
      </c>
    </row>
    <row r="784" customFormat="false" ht="15" hidden="false" customHeight="false" outlineLevel="0" collapsed="false">
      <c r="A784" s="11"/>
      <c r="B784" s="27"/>
      <c r="C784" s="11"/>
      <c r="D784" s="11"/>
      <c r="E784" s="11"/>
      <c r="F784" s="27"/>
      <c r="G784" s="27"/>
      <c r="H784" s="11"/>
      <c r="I784" s="11"/>
      <c r="J784" s="12"/>
      <c r="K784" s="12"/>
      <c r="L784" s="28" t="str">
        <f aca="false">IF(AND(ISNUMBER(J784),ISNUMBER(K784),N(J784)&gt;0),1-K784/J784,"")</f>
        <v/>
      </c>
      <c r="M784" s="29"/>
      <c r="N784" s="30"/>
      <c r="O784" s="30"/>
      <c r="P784" s="11"/>
      <c r="Q784" s="31"/>
      <c r="R784" s="11"/>
      <c r="S784" s="11"/>
      <c r="T784" s="11"/>
      <c r="U784" s="32" t="str">
        <f aca="false">IF((LEN(A784)+LEN(B784)+LEN(C784)+LEN(D784)+LEN(E784)+LEN(F784)+LEN(G784)+LEN(H784)+LEN(I784)+LEN(J784)+LEN(K784)+LEN(M784)+LEN(N784)+LEN(O784)+LEN(P784)+LEN(Q784)+LEN(R784)+LEN(S784)+LEN(T784))=0,"",IF(OR(A784="",B784="",C784="",D784="",E784="",J784="",K784="",N784=""),"⚠ Champ obligatoire manquant",IF(AND(ISNUMBER(K784),ISNUMBER(J784),N(K784)&gt;N(J784)),"⚠ Prix Autopiec &gt; prix public",IF(COUNTIFS($A$2:$A$1001,A784,$B$2:$B$1001,B784)&gt;1,"⚠ Référence en double","✔ OK"))))</f>
        <v/>
      </c>
    </row>
    <row r="785" customFormat="false" ht="15" hidden="false" customHeight="false" outlineLevel="0" collapsed="false">
      <c r="A785" s="11"/>
      <c r="B785" s="27"/>
      <c r="C785" s="11"/>
      <c r="D785" s="11"/>
      <c r="E785" s="11"/>
      <c r="F785" s="27"/>
      <c r="G785" s="27"/>
      <c r="H785" s="11"/>
      <c r="I785" s="11"/>
      <c r="J785" s="12"/>
      <c r="K785" s="12"/>
      <c r="L785" s="28" t="str">
        <f aca="false">IF(AND(ISNUMBER(J785),ISNUMBER(K785),N(J785)&gt;0),1-K785/J785,"")</f>
        <v/>
      </c>
      <c r="M785" s="29"/>
      <c r="N785" s="30"/>
      <c r="O785" s="30"/>
      <c r="P785" s="11"/>
      <c r="Q785" s="31"/>
      <c r="R785" s="11"/>
      <c r="S785" s="11"/>
      <c r="T785" s="11"/>
      <c r="U785" s="32" t="str">
        <f aca="false">IF((LEN(A785)+LEN(B785)+LEN(C785)+LEN(D785)+LEN(E785)+LEN(F785)+LEN(G785)+LEN(H785)+LEN(I785)+LEN(J785)+LEN(K785)+LEN(M785)+LEN(N785)+LEN(O785)+LEN(P785)+LEN(Q785)+LEN(R785)+LEN(S785)+LEN(T785))=0,"",IF(OR(A785="",B785="",C785="",D785="",E785="",J785="",K785="",N785=""),"⚠ Champ obligatoire manquant",IF(AND(ISNUMBER(K785),ISNUMBER(J785),N(K785)&gt;N(J785)),"⚠ Prix Autopiec &gt; prix public",IF(COUNTIFS($A$2:$A$1001,A785,$B$2:$B$1001,B785)&gt;1,"⚠ Référence en double","✔ OK"))))</f>
        <v/>
      </c>
    </row>
    <row r="786" customFormat="false" ht="15" hidden="false" customHeight="false" outlineLevel="0" collapsed="false">
      <c r="A786" s="11"/>
      <c r="B786" s="27"/>
      <c r="C786" s="11"/>
      <c r="D786" s="11"/>
      <c r="E786" s="11"/>
      <c r="F786" s="27"/>
      <c r="G786" s="27"/>
      <c r="H786" s="11"/>
      <c r="I786" s="11"/>
      <c r="J786" s="12"/>
      <c r="K786" s="12"/>
      <c r="L786" s="28" t="str">
        <f aca="false">IF(AND(ISNUMBER(J786),ISNUMBER(K786),N(J786)&gt;0),1-K786/J786,"")</f>
        <v/>
      </c>
      <c r="M786" s="29"/>
      <c r="N786" s="30"/>
      <c r="O786" s="30"/>
      <c r="P786" s="11"/>
      <c r="Q786" s="31"/>
      <c r="R786" s="11"/>
      <c r="S786" s="11"/>
      <c r="T786" s="11"/>
      <c r="U786" s="32" t="str">
        <f aca="false">IF((LEN(A786)+LEN(B786)+LEN(C786)+LEN(D786)+LEN(E786)+LEN(F786)+LEN(G786)+LEN(H786)+LEN(I786)+LEN(J786)+LEN(K786)+LEN(M786)+LEN(N786)+LEN(O786)+LEN(P786)+LEN(Q786)+LEN(R786)+LEN(S786)+LEN(T786))=0,"",IF(OR(A786="",B786="",C786="",D786="",E786="",J786="",K786="",N786=""),"⚠ Champ obligatoire manquant",IF(AND(ISNUMBER(K786),ISNUMBER(J786),N(K786)&gt;N(J786)),"⚠ Prix Autopiec &gt; prix public",IF(COUNTIFS($A$2:$A$1001,A786,$B$2:$B$1001,B786)&gt;1,"⚠ Référence en double","✔ OK"))))</f>
        <v/>
      </c>
    </row>
    <row r="787" customFormat="false" ht="15" hidden="false" customHeight="false" outlineLevel="0" collapsed="false">
      <c r="A787" s="11"/>
      <c r="B787" s="27"/>
      <c r="C787" s="11"/>
      <c r="D787" s="11"/>
      <c r="E787" s="11"/>
      <c r="F787" s="27"/>
      <c r="G787" s="27"/>
      <c r="H787" s="11"/>
      <c r="I787" s="11"/>
      <c r="J787" s="12"/>
      <c r="K787" s="12"/>
      <c r="L787" s="28" t="str">
        <f aca="false">IF(AND(ISNUMBER(J787),ISNUMBER(K787),N(J787)&gt;0),1-K787/J787,"")</f>
        <v/>
      </c>
      <c r="M787" s="29"/>
      <c r="N787" s="30"/>
      <c r="O787" s="30"/>
      <c r="P787" s="11"/>
      <c r="Q787" s="31"/>
      <c r="R787" s="11"/>
      <c r="S787" s="11"/>
      <c r="T787" s="11"/>
      <c r="U787" s="32" t="str">
        <f aca="false">IF((LEN(A787)+LEN(B787)+LEN(C787)+LEN(D787)+LEN(E787)+LEN(F787)+LEN(G787)+LEN(H787)+LEN(I787)+LEN(J787)+LEN(K787)+LEN(M787)+LEN(N787)+LEN(O787)+LEN(P787)+LEN(Q787)+LEN(R787)+LEN(S787)+LEN(T787))=0,"",IF(OR(A787="",B787="",C787="",D787="",E787="",J787="",K787="",N787=""),"⚠ Champ obligatoire manquant",IF(AND(ISNUMBER(K787),ISNUMBER(J787),N(K787)&gt;N(J787)),"⚠ Prix Autopiec &gt; prix public",IF(COUNTIFS($A$2:$A$1001,A787,$B$2:$B$1001,B787)&gt;1,"⚠ Référence en double","✔ OK"))))</f>
        <v/>
      </c>
    </row>
    <row r="788" customFormat="false" ht="15" hidden="false" customHeight="false" outlineLevel="0" collapsed="false">
      <c r="A788" s="11"/>
      <c r="B788" s="27"/>
      <c r="C788" s="11"/>
      <c r="D788" s="11"/>
      <c r="E788" s="11"/>
      <c r="F788" s="27"/>
      <c r="G788" s="27"/>
      <c r="H788" s="11"/>
      <c r="I788" s="11"/>
      <c r="J788" s="12"/>
      <c r="K788" s="12"/>
      <c r="L788" s="28" t="str">
        <f aca="false">IF(AND(ISNUMBER(J788),ISNUMBER(K788),N(J788)&gt;0),1-K788/J788,"")</f>
        <v/>
      </c>
      <c r="M788" s="29"/>
      <c r="N788" s="30"/>
      <c r="O788" s="30"/>
      <c r="P788" s="11"/>
      <c r="Q788" s="31"/>
      <c r="R788" s="11"/>
      <c r="S788" s="11"/>
      <c r="T788" s="11"/>
      <c r="U788" s="32" t="str">
        <f aca="false">IF((LEN(A788)+LEN(B788)+LEN(C788)+LEN(D788)+LEN(E788)+LEN(F788)+LEN(G788)+LEN(H788)+LEN(I788)+LEN(J788)+LEN(K788)+LEN(M788)+LEN(N788)+LEN(O788)+LEN(P788)+LEN(Q788)+LEN(R788)+LEN(S788)+LEN(T788))=0,"",IF(OR(A788="",B788="",C788="",D788="",E788="",J788="",K788="",N788=""),"⚠ Champ obligatoire manquant",IF(AND(ISNUMBER(K788),ISNUMBER(J788),N(K788)&gt;N(J788)),"⚠ Prix Autopiec &gt; prix public",IF(COUNTIFS($A$2:$A$1001,A788,$B$2:$B$1001,B788)&gt;1,"⚠ Référence en double","✔ OK"))))</f>
        <v/>
      </c>
    </row>
    <row r="789" customFormat="false" ht="15" hidden="false" customHeight="false" outlineLevel="0" collapsed="false">
      <c r="A789" s="11"/>
      <c r="B789" s="27"/>
      <c r="C789" s="11"/>
      <c r="D789" s="11"/>
      <c r="E789" s="11"/>
      <c r="F789" s="27"/>
      <c r="G789" s="27"/>
      <c r="H789" s="11"/>
      <c r="I789" s="11"/>
      <c r="J789" s="12"/>
      <c r="K789" s="12"/>
      <c r="L789" s="28" t="str">
        <f aca="false">IF(AND(ISNUMBER(J789),ISNUMBER(K789),N(J789)&gt;0),1-K789/J789,"")</f>
        <v/>
      </c>
      <c r="M789" s="29"/>
      <c r="N789" s="30"/>
      <c r="O789" s="30"/>
      <c r="P789" s="11"/>
      <c r="Q789" s="31"/>
      <c r="R789" s="11"/>
      <c r="S789" s="11"/>
      <c r="T789" s="11"/>
      <c r="U789" s="32" t="str">
        <f aca="false">IF((LEN(A789)+LEN(B789)+LEN(C789)+LEN(D789)+LEN(E789)+LEN(F789)+LEN(G789)+LEN(H789)+LEN(I789)+LEN(J789)+LEN(K789)+LEN(M789)+LEN(N789)+LEN(O789)+LEN(P789)+LEN(Q789)+LEN(R789)+LEN(S789)+LEN(T789))=0,"",IF(OR(A789="",B789="",C789="",D789="",E789="",J789="",K789="",N789=""),"⚠ Champ obligatoire manquant",IF(AND(ISNUMBER(K789),ISNUMBER(J789),N(K789)&gt;N(J789)),"⚠ Prix Autopiec &gt; prix public",IF(COUNTIFS($A$2:$A$1001,A789,$B$2:$B$1001,B789)&gt;1,"⚠ Référence en double","✔ OK"))))</f>
        <v/>
      </c>
    </row>
    <row r="790" customFormat="false" ht="15" hidden="false" customHeight="false" outlineLevel="0" collapsed="false">
      <c r="A790" s="11"/>
      <c r="B790" s="27"/>
      <c r="C790" s="11"/>
      <c r="D790" s="11"/>
      <c r="E790" s="11"/>
      <c r="F790" s="27"/>
      <c r="G790" s="27"/>
      <c r="H790" s="11"/>
      <c r="I790" s="11"/>
      <c r="J790" s="12"/>
      <c r="K790" s="12"/>
      <c r="L790" s="28" t="str">
        <f aca="false">IF(AND(ISNUMBER(J790),ISNUMBER(K790),N(J790)&gt;0),1-K790/J790,"")</f>
        <v/>
      </c>
      <c r="M790" s="29"/>
      <c r="N790" s="30"/>
      <c r="O790" s="30"/>
      <c r="P790" s="11"/>
      <c r="Q790" s="31"/>
      <c r="R790" s="11"/>
      <c r="S790" s="11"/>
      <c r="T790" s="11"/>
      <c r="U790" s="32" t="str">
        <f aca="false">IF((LEN(A790)+LEN(B790)+LEN(C790)+LEN(D790)+LEN(E790)+LEN(F790)+LEN(G790)+LEN(H790)+LEN(I790)+LEN(J790)+LEN(K790)+LEN(M790)+LEN(N790)+LEN(O790)+LEN(P790)+LEN(Q790)+LEN(R790)+LEN(S790)+LEN(T790))=0,"",IF(OR(A790="",B790="",C790="",D790="",E790="",J790="",K790="",N790=""),"⚠ Champ obligatoire manquant",IF(AND(ISNUMBER(K790),ISNUMBER(J790),N(K790)&gt;N(J790)),"⚠ Prix Autopiec &gt; prix public",IF(COUNTIFS($A$2:$A$1001,A790,$B$2:$B$1001,B790)&gt;1,"⚠ Référence en double","✔ OK"))))</f>
        <v/>
      </c>
    </row>
    <row r="791" customFormat="false" ht="15" hidden="false" customHeight="false" outlineLevel="0" collapsed="false">
      <c r="A791" s="11"/>
      <c r="B791" s="27"/>
      <c r="C791" s="11"/>
      <c r="D791" s="11"/>
      <c r="E791" s="11"/>
      <c r="F791" s="27"/>
      <c r="G791" s="27"/>
      <c r="H791" s="11"/>
      <c r="I791" s="11"/>
      <c r="J791" s="12"/>
      <c r="K791" s="12"/>
      <c r="L791" s="28" t="str">
        <f aca="false">IF(AND(ISNUMBER(J791),ISNUMBER(K791),N(J791)&gt;0),1-K791/J791,"")</f>
        <v/>
      </c>
      <c r="M791" s="29"/>
      <c r="N791" s="30"/>
      <c r="O791" s="30"/>
      <c r="P791" s="11"/>
      <c r="Q791" s="31"/>
      <c r="R791" s="11"/>
      <c r="S791" s="11"/>
      <c r="T791" s="11"/>
      <c r="U791" s="32" t="str">
        <f aca="false">IF((LEN(A791)+LEN(B791)+LEN(C791)+LEN(D791)+LEN(E791)+LEN(F791)+LEN(G791)+LEN(H791)+LEN(I791)+LEN(J791)+LEN(K791)+LEN(M791)+LEN(N791)+LEN(O791)+LEN(P791)+LEN(Q791)+LEN(R791)+LEN(S791)+LEN(T791))=0,"",IF(OR(A791="",B791="",C791="",D791="",E791="",J791="",K791="",N791=""),"⚠ Champ obligatoire manquant",IF(AND(ISNUMBER(K791),ISNUMBER(J791),N(K791)&gt;N(J791)),"⚠ Prix Autopiec &gt; prix public",IF(COUNTIFS($A$2:$A$1001,A791,$B$2:$B$1001,B791)&gt;1,"⚠ Référence en double","✔ OK"))))</f>
        <v/>
      </c>
    </row>
    <row r="792" customFormat="false" ht="15" hidden="false" customHeight="false" outlineLevel="0" collapsed="false">
      <c r="A792" s="11"/>
      <c r="B792" s="27"/>
      <c r="C792" s="11"/>
      <c r="D792" s="11"/>
      <c r="E792" s="11"/>
      <c r="F792" s="27"/>
      <c r="G792" s="27"/>
      <c r="H792" s="11"/>
      <c r="I792" s="11"/>
      <c r="J792" s="12"/>
      <c r="K792" s="12"/>
      <c r="L792" s="28" t="str">
        <f aca="false">IF(AND(ISNUMBER(J792),ISNUMBER(K792),N(J792)&gt;0),1-K792/J792,"")</f>
        <v/>
      </c>
      <c r="M792" s="29"/>
      <c r="N792" s="30"/>
      <c r="O792" s="30"/>
      <c r="P792" s="11"/>
      <c r="Q792" s="31"/>
      <c r="R792" s="11"/>
      <c r="S792" s="11"/>
      <c r="T792" s="11"/>
      <c r="U792" s="32" t="str">
        <f aca="false">IF((LEN(A792)+LEN(B792)+LEN(C792)+LEN(D792)+LEN(E792)+LEN(F792)+LEN(G792)+LEN(H792)+LEN(I792)+LEN(J792)+LEN(K792)+LEN(M792)+LEN(N792)+LEN(O792)+LEN(P792)+LEN(Q792)+LEN(R792)+LEN(S792)+LEN(T792))=0,"",IF(OR(A792="",B792="",C792="",D792="",E792="",J792="",K792="",N792=""),"⚠ Champ obligatoire manquant",IF(AND(ISNUMBER(K792),ISNUMBER(J792),N(K792)&gt;N(J792)),"⚠ Prix Autopiec &gt; prix public",IF(COUNTIFS($A$2:$A$1001,A792,$B$2:$B$1001,B792)&gt;1,"⚠ Référence en double","✔ OK"))))</f>
        <v/>
      </c>
    </row>
    <row r="793" customFormat="false" ht="15" hidden="false" customHeight="false" outlineLevel="0" collapsed="false">
      <c r="A793" s="11"/>
      <c r="B793" s="27"/>
      <c r="C793" s="11"/>
      <c r="D793" s="11"/>
      <c r="E793" s="11"/>
      <c r="F793" s="27"/>
      <c r="G793" s="27"/>
      <c r="H793" s="11"/>
      <c r="I793" s="11"/>
      <c r="J793" s="12"/>
      <c r="K793" s="12"/>
      <c r="L793" s="28" t="str">
        <f aca="false">IF(AND(ISNUMBER(J793),ISNUMBER(K793),N(J793)&gt;0),1-K793/J793,"")</f>
        <v/>
      </c>
      <c r="M793" s="29"/>
      <c r="N793" s="30"/>
      <c r="O793" s="30"/>
      <c r="P793" s="11"/>
      <c r="Q793" s="31"/>
      <c r="R793" s="11"/>
      <c r="S793" s="11"/>
      <c r="T793" s="11"/>
      <c r="U793" s="32" t="str">
        <f aca="false">IF((LEN(A793)+LEN(B793)+LEN(C793)+LEN(D793)+LEN(E793)+LEN(F793)+LEN(G793)+LEN(H793)+LEN(I793)+LEN(J793)+LEN(K793)+LEN(M793)+LEN(N793)+LEN(O793)+LEN(P793)+LEN(Q793)+LEN(R793)+LEN(S793)+LEN(T793))=0,"",IF(OR(A793="",B793="",C793="",D793="",E793="",J793="",K793="",N793=""),"⚠ Champ obligatoire manquant",IF(AND(ISNUMBER(K793),ISNUMBER(J793),N(K793)&gt;N(J793)),"⚠ Prix Autopiec &gt; prix public",IF(COUNTIFS($A$2:$A$1001,A793,$B$2:$B$1001,B793)&gt;1,"⚠ Référence en double","✔ OK"))))</f>
        <v/>
      </c>
    </row>
    <row r="794" customFormat="false" ht="15" hidden="false" customHeight="false" outlineLevel="0" collapsed="false">
      <c r="A794" s="11"/>
      <c r="B794" s="27"/>
      <c r="C794" s="11"/>
      <c r="D794" s="11"/>
      <c r="E794" s="11"/>
      <c r="F794" s="27"/>
      <c r="G794" s="27"/>
      <c r="H794" s="11"/>
      <c r="I794" s="11"/>
      <c r="J794" s="12"/>
      <c r="K794" s="12"/>
      <c r="L794" s="28" t="str">
        <f aca="false">IF(AND(ISNUMBER(J794),ISNUMBER(K794),N(J794)&gt;0),1-K794/J794,"")</f>
        <v/>
      </c>
      <c r="M794" s="29"/>
      <c r="N794" s="30"/>
      <c r="O794" s="30"/>
      <c r="P794" s="11"/>
      <c r="Q794" s="31"/>
      <c r="R794" s="11"/>
      <c r="S794" s="11"/>
      <c r="T794" s="11"/>
      <c r="U794" s="32" t="str">
        <f aca="false">IF((LEN(A794)+LEN(B794)+LEN(C794)+LEN(D794)+LEN(E794)+LEN(F794)+LEN(G794)+LEN(H794)+LEN(I794)+LEN(J794)+LEN(K794)+LEN(M794)+LEN(N794)+LEN(O794)+LEN(P794)+LEN(Q794)+LEN(R794)+LEN(S794)+LEN(T794))=0,"",IF(OR(A794="",B794="",C794="",D794="",E794="",J794="",K794="",N794=""),"⚠ Champ obligatoire manquant",IF(AND(ISNUMBER(K794),ISNUMBER(J794),N(K794)&gt;N(J794)),"⚠ Prix Autopiec &gt; prix public",IF(COUNTIFS($A$2:$A$1001,A794,$B$2:$B$1001,B794)&gt;1,"⚠ Référence en double","✔ OK"))))</f>
        <v/>
      </c>
    </row>
    <row r="795" customFormat="false" ht="15" hidden="false" customHeight="false" outlineLevel="0" collapsed="false">
      <c r="A795" s="11"/>
      <c r="B795" s="27"/>
      <c r="C795" s="11"/>
      <c r="D795" s="11"/>
      <c r="E795" s="11"/>
      <c r="F795" s="27"/>
      <c r="G795" s="27"/>
      <c r="H795" s="11"/>
      <c r="I795" s="11"/>
      <c r="J795" s="12"/>
      <c r="K795" s="12"/>
      <c r="L795" s="28" t="str">
        <f aca="false">IF(AND(ISNUMBER(J795),ISNUMBER(K795),N(J795)&gt;0),1-K795/J795,"")</f>
        <v/>
      </c>
      <c r="M795" s="29"/>
      <c r="N795" s="30"/>
      <c r="O795" s="30"/>
      <c r="P795" s="11"/>
      <c r="Q795" s="31"/>
      <c r="R795" s="11"/>
      <c r="S795" s="11"/>
      <c r="T795" s="11"/>
      <c r="U795" s="32" t="str">
        <f aca="false">IF((LEN(A795)+LEN(B795)+LEN(C795)+LEN(D795)+LEN(E795)+LEN(F795)+LEN(G795)+LEN(H795)+LEN(I795)+LEN(J795)+LEN(K795)+LEN(M795)+LEN(N795)+LEN(O795)+LEN(P795)+LEN(Q795)+LEN(R795)+LEN(S795)+LEN(T795))=0,"",IF(OR(A795="",B795="",C795="",D795="",E795="",J795="",K795="",N795=""),"⚠ Champ obligatoire manquant",IF(AND(ISNUMBER(K795),ISNUMBER(J795),N(K795)&gt;N(J795)),"⚠ Prix Autopiec &gt; prix public",IF(COUNTIFS($A$2:$A$1001,A795,$B$2:$B$1001,B795)&gt;1,"⚠ Référence en double","✔ OK"))))</f>
        <v/>
      </c>
    </row>
    <row r="796" customFormat="false" ht="15" hidden="false" customHeight="false" outlineLevel="0" collapsed="false">
      <c r="A796" s="11"/>
      <c r="B796" s="27"/>
      <c r="C796" s="11"/>
      <c r="D796" s="11"/>
      <c r="E796" s="11"/>
      <c r="F796" s="27"/>
      <c r="G796" s="27"/>
      <c r="H796" s="11"/>
      <c r="I796" s="11"/>
      <c r="J796" s="12"/>
      <c r="K796" s="12"/>
      <c r="L796" s="28" t="str">
        <f aca="false">IF(AND(ISNUMBER(J796),ISNUMBER(K796),N(J796)&gt;0),1-K796/J796,"")</f>
        <v/>
      </c>
      <c r="M796" s="29"/>
      <c r="N796" s="30"/>
      <c r="O796" s="30"/>
      <c r="P796" s="11"/>
      <c r="Q796" s="31"/>
      <c r="R796" s="11"/>
      <c r="S796" s="11"/>
      <c r="T796" s="11"/>
      <c r="U796" s="32" t="str">
        <f aca="false">IF((LEN(A796)+LEN(B796)+LEN(C796)+LEN(D796)+LEN(E796)+LEN(F796)+LEN(G796)+LEN(H796)+LEN(I796)+LEN(J796)+LEN(K796)+LEN(M796)+LEN(N796)+LEN(O796)+LEN(P796)+LEN(Q796)+LEN(R796)+LEN(S796)+LEN(T796))=0,"",IF(OR(A796="",B796="",C796="",D796="",E796="",J796="",K796="",N796=""),"⚠ Champ obligatoire manquant",IF(AND(ISNUMBER(K796),ISNUMBER(J796),N(K796)&gt;N(J796)),"⚠ Prix Autopiec &gt; prix public",IF(COUNTIFS($A$2:$A$1001,A796,$B$2:$B$1001,B796)&gt;1,"⚠ Référence en double","✔ OK"))))</f>
        <v/>
      </c>
    </row>
    <row r="797" customFormat="false" ht="15" hidden="false" customHeight="false" outlineLevel="0" collapsed="false">
      <c r="A797" s="11"/>
      <c r="B797" s="27"/>
      <c r="C797" s="11"/>
      <c r="D797" s="11"/>
      <c r="E797" s="11"/>
      <c r="F797" s="27"/>
      <c r="G797" s="27"/>
      <c r="H797" s="11"/>
      <c r="I797" s="11"/>
      <c r="J797" s="12"/>
      <c r="K797" s="12"/>
      <c r="L797" s="28" t="str">
        <f aca="false">IF(AND(ISNUMBER(J797),ISNUMBER(K797),N(J797)&gt;0),1-K797/J797,"")</f>
        <v/>
      </c>
      <c r="M797" s="29"/>
      <c r="N797" s="30"/>
      <c r="O797" s="30"/>
      <c r="P797" s="11"/>
      <c r="Q797" s="31"/>
      <c r="R797" s="11"/>
      <c r="S797" s="11"/>
      <c r="T797" s="11"/>
      <c r="U797" s="32" t="str">
        <f aca="false">IF((LEN(A797)+LEN(B797)+LEN(C797)+LEN(D797)+LEN(E797)+LEN(F797)+LEN(G797)+LEN(H797)+LEN(I797)+LEN(J797)+LEN(K797)+LEN(M797)+LEN(N797)+LEN(O797)+LEN(P797)+LEN(Q797)+LEN(R797)+LEN(S797)+LEN(T797))=0,"",IF(OR(A797="",B797="",C797="",D797="",E797="",J797="",K797="",N797=""),"⚠ Champ obligatoire manquant",IF(AND(ISNUMBER(K797),ISNUMBER(J797),N(K797)&gt;N(J797)),"⚠ Prix Autopiec &gt; prix public",IF(COUNTIFS($A$2:$A$1001,A797,$B$2:$B$1001,B797)&gt;1,"⚠ Référence en double","✔ OK"))))</f>
        <v/>
      </c>
    </row>
    <row r="798" customFormat="false" ht="15" hidden="false" customHeight="false" outlineLevel="0" collapsed="false">
      <c r="A798" s="11"/>
      <c r="B798" s="27"/>
      <c r="C798" s="11"/>
      <c r="D798" s="11"/>
      <c r="E798" s="11"/>
      <c r="F798" s="27"/>
      <c r="G798" s="27"/>
      <c r="H798" s="11"/>
      <c r="I798" s="11"/>
      <c r="J798" s="12"/>
      <c r="K798" s="12"/>
      <c r="L798" s="28" t="str">
        <f aca="false">IF(AND(ISNUMBER(J798),ISNUMBER(K798),N(J798)&gt;0),1-K798/J798,"")</f>
        <v/>
      </c>
      <c r="M798" s="29"/>
      <c r="N798" s="30"/>
      <c r="O798" s="30"/>
      <c r="P798" s="11"/>
      <c r="Q798" s="31"/>
      <c r="R798" s="11"/>
      <c r="S798" s="11"/>
      <c r="T798" s="11"/>
      <c r="U798" s="32" t="str">
        <f aca="false">IF((LEN(A798)+LEN(B798)+LEN(C798)+LEN(D798)+LEN(E798)+LEN(F798)+LEN(G798)+LEN(H798)+LEN(I798)+LEN(J798)+LEN(K798)+LEN(M798)+LEN(N798)+LEN(O798)+LEN(P798)+LEN(Q798)+LEN(R798)+LEN(S798)+LEN(T798))=0,"",IF(OR(A798="",B798="",C798="",D798="",E798="",J798="",K798="",N798=""),"⚠ Champ obligatoire manquant",IF(AND(ISNUMBER(K798),ISNUMBER(J798),N(K798)&gt;N(J798)),"⚠ Prix Autopiec &gt; prix public",IF(COUNTIFS($A$2:$A$1001,A798,$B$2:$B$1001,B798)&gt;1,"⚠ Référence en double","✔ OK"))))</f>
        <v/>
      </c>
    </row>
    <row r="799" customFormat="false" ht="15" hidden="false" customHeight="false" outlineLevel="0" collapsed="false">
      <c r="A799" s="11"/>
      <c r="B799" s="27"/>
      <c r="C799" s="11"/>
      <c r="D799" s="11"/>
      <c r="E799" s="11"/>
      <c r="F799" s="27"/>
      <c r="G799" s="27"/>
      <c r="H799" s="11"/>
      <c r="I799" s="11"/>
      <c r="J799" s="12"/>
      <c r="K799" s="12"/>
      <c r="L799" s="28" t="str">
        <f aca="false">IF(AND(ISNUMBER(J799),ISNUMBER(K799),N(J799)&gt;0),1-K799/J799,"")</f>
        <v/>
      </c>
      <c r="M799" s="29"/>
      <c r="N799" s="30"/>
      <c r="O799" s="30"/>
      <c r="P799" s="11"/>
      <c r="Q799" s="31"/>
      <c r="R799" s="11"/>
      <c r="S799" s="11"/>
      <c r="T799" s="11"/>
      <c r="U799" s="32" t="str">
        <f aca="false">IF((LEN(A799)+LEN(B799)+LEN(C799)+LEN(D799)+LEN(E799)+LEN(F799)+LEN(G799)+LEN(H799)+LEN(I799)+LEN(J799)+LEN(K799)+LEN(M799)+LEN(N799)+LEN(O799)+LEN(P799)+LEN(Q799)+LEN(R799)+LEN(S799)+LEN(T799))=0,"",IF(OR(A799="",B799="",C799="",D799="",E799="",J799="",K799="",N799=""),"⚠ Champ obligatoire manquant",IF(AND(ISNUMBER(K799),ISNUMBER(J799),N(K799)&gt;N(J799)),"⚠ Prix Autopiec &gt; prix public",IF(COUNTIFS($A$2:$A$1001,A799,$B$2:$B$1001,B799)&gt;1,"⚠ Référence en double","✔ OK"))))</f>
        <v/>
      </c>
    </row>
    <row r="800" customFormat="false" ht="15" hidden="false" customHeight="false" outlineLevel="0" collapsed="false">
      <c r="A800" s="11"/>
      <c r="B800" s="27"/>
      <c r="C800" s="11"/>
      <c r="D800" s="11"/>
      <c r="E800" s="11"/>
      <c r="F800" s="27"/>
      <c r="G800" s="27"/>
      <c r="H800" s="11"/>
      <c r="I800" s="11"/>
      <c r="J800" s="12"/>
      <c r="K800" s="12"/>
      <c r="L800" s="28" t="str">
        <f aca="false">IF(AND(ISNUMBER(J800),ISNUMBER(K800),N(J800)&gt;0),1-K800/J800,"")</f>
        <v/>
      </c>
      <c r="M800" s="29"/>
      <c r="N800" s="30"/>
      <c r="O800" s="30"/>
      <c r="P800" s="11"/>
      <c r="Q800" s="31"/>
      <c r="R800" s="11"/>
      <c r="S800" s="11"/>
      <c r="T800" s="11"/>
      <c r="U800" s="32" t="str">
        <f aca="false">IF((LEN(A800)+LEN(B800)+LEN(C800)+LEN(D800)+LEN(E800)+LEN(F800)+LEN(G800)+LEN(H800)+LEN(I800)+LEN(J800)+LEN(K800)+LEN(M800)+LEN(N800)+LEN(O800)+LEN(P800)+LEN(Q800)+LEN(R800)+LEN(S800)+LEN(T800))=0,"",IF(OR(A800="",B800="",C800="",D800="",E800="",J800="",K800="",N800=""),"⚠ Champ obligatoire manquant",IF(AND(ISNUMBER(K800),ISNUMBER(J800),N(K800)&gt;N(J800)),"⚠ Prix Autopiec &gt; prix public",IF(COUNTIFS($A$2:$A$1001,A800,$B$2:$B$1001,B800)&gt;1,"⚠ Référence en double","✔ OK"))))</f>
        <v/>
      </c>
    </row>
    <row r="801" customFormat="false" ht="15" hidden="false" customHeight="false" outlineLevel="0" collapsed="false">
      <c r="A801" s="11"/>
      <c r="B801" s="27"/>
      <c r="C801" s="11"/>
      <c r="D801" s="11"/>
      <c r="E801" s="11"/>
      <c r="F801" s="27"/>
      <c r="G801" s="27"/>
      <c r="H801" s="11"/>
      <c r="I801" s="11"/>
      <c r="J801" s="12"/>
      <c r="K801" s="12"/>
      <c r="L801" s="28" t="str">
        <f aca="false">IF(AND(ISNUMBER(J801),ISNUMBER(K801),N(J801)&gt;0),1-K801/J801,"")</f>
        <v/>
      </c>
      <c r="M801" s="29"/>
      <c r="N801" s="30"/>
      <c r="O801" s="30"/>
      <c r="P801" s="11"/>
      <c r="Q801" s="31"/>
      <c r="R801" s="11"/>
      <c r="S801" s="11"/>
      <c r="T801" s="11"/>
      <c r="U801" s="32" t="str">
        <f aca="false">IF((LEN(A801)+LEN(B801)+LEN(C801)+LEN(D801)+LEN(E801)+LEN(F801)+LEN(G801)+LEN(H801)+LEN(I801)+LEN(J801)+LEN(K801)+LEN(M801)+LEN(N801)+LEN(O801)+LEN(P801)+LEN(Q801)+LEN(R801)+LEN(S801)+LEN(T801))=0,"",IF(OR(A801="",B801="",C801="",D801="",E801="",J801="",K801="",N801=""),"⚠ Champ obligatoire manquant",IF(AND(ISNUMBER(K801),ISNUMBER(J801),N(K801)&gt;N(J801)),"⚠ Prix Autopiec &gt; prix public",IF(COUNTIFS($A$2:$A$1001,A801,$B$2:$B$1001,B801)&gt;1,"⚠ Référence en double","✔ OK"))))</f>
        <v/>
      </c>
    </row>
    <row r="802" customFormat="false" ht="15" hidden="false" customHeight="false" outlineLevel="0" collapsed="false">
      <c r="A802" s="11"/>
      <c r="B802" s="27"/>
      <c r="C802" s="11"/>
      <c r="D802" s="11"/>
      <c r="E802" s="11"/>
      <c r="F802" s="27"/>
      <c r="G802" s="27"/>
      <c r="H802" s="11"/>
      <c r="I802" s="11"/>
      <c r="J802" s="12"/>
      <c r="K802" s="12"/>
      <c r="L802" s="28" t="str">
        <f aca="false">IF(AND(ISNUMBER(J802),ISNUMBER(K802),N(J802)&gt;0),1-K802/J802,"")</f>
        <v/>
      </c>
      <c r="M802" s="29"/>
      <c r="N802" s="30"/>
      <c r="O802" s="30"/>
      <c r="P802" s="11"/>
      <c r="Q802" s="31"/>
      <c r="R802" s="11"/>
      <c r="S802" s="11"/>
      <c r="T802" s="11"/>
      <c r="U802" s="32" t="str">
        <f aca="false">IF((LEN(A802)+LEN(B802)+LEN(C802)+LEN(D802)+LEN(E802)+LEN(F802)+LEN(G802)+LEN(H802)+LEN(I802)+LEN(J802)+LEN(K802)+LEN(M802)+LEN(N802)+LEN(O802)+LEN(P802)+LEN(Q802)+LEN(R802)+LEN(S802)+LEN(T802))=0,"",IF(OR(A802="",B802="",C802="",D802="",E802="",J802="",K802="",N802=""),"⚠ Champ obligatoire manquant",IF(AND(ISNUMBER(K802),ISNUMBER(J802),N(K802)&gt;N(J802)),"⚠ Prix Autopiec &gt; prix public",IF(COUNTIFS($A$2:$A$1001,A802,$B$2:$B$1001,B802)&gt;1,"⚠ Référence en double","✔ OK"))))</f>
        <v/>
      </c>
    </row>
    <row r="803" customFormat="false" ht="15" hidden="false" customHeight="false" outlineLevel="0" collapsed="false">
      <c r="A803" s="11"/>
      <c r="B803" s="27"/>
      <c r="C803" s="11"/>
      <c r="D803" s="11"/>
      <c r="E803" s="11"/>
      <c r="F803" s="27"/>
      <c r="G803" s="27"/>
      <c r="H803" s="11"/>
      <c r="I803" s="11"/>
      <c r="J803" s="12"/>
      <c r="K803" s="12"/>
      <c r="L803" s="28" t="str">
        <f aca="false">IF(AND(ISNUMBER(J803),ISNUMBER(K803),N(J803)&gt;0),1-K803/J803,"")</f>
        <v/>
      </c>
      <c r="M803" s="29"/>
      <c r="N803" s="30"/>
      <c r="O803" s="30"/>
      <c r="P803" s="11"/>
      <c r="Q803" s="31"/>
      <c r="R803" s="11"/>
      <c r="S803" s="11"/>
      <c r="T803" s="11"/>
      <c r="U803" s="32" t="str">
        <f aca="false">IF((LEN(A803)+LEN(B803)+LEN(C803)+LEN(D803)+LEN(E803)+LEN(F803)+LEN(G803)+LEN(H803)+LEN(I803)+LEN(J803)+LEN(K803)+LEN(M803)+LEN(N803)+LEN(O803)+LEN(P803)+LEN(Q803)+LEN(R803)+LEN(S803)+LEN(T803))=0,"",IF(OR(A803="",B803="",C803="",D803="",E803="",J803="",K803="",N803=""),"⚠ Champ obligatoire manquant",IF(AND(ISNUMBER(K803),ISNUMBER(J803),N(K803)&gt;N(J803)),"⚠ Prix Autopiec &gt; prix public",IF(COUNTIFS($A$2:$A$1001,A803,$B$2:$B$1001,B803)&gt;1,"⚠ Référence en double","✔ OK"))))</f>
        <v/>
      </c>
    </row>
    <row r="804" customFormat="false" ht="15" hidden="false" customHeight="false" outlineLevel="0" collapsed="false">
      <c r="A804" s="11"/>
      <c r="B804" s="27"/>
      <c r="C804" s="11"/>
      <c r="D804" s="11"/>
      <c r="E804" s="11"/>
      <c r="F804" s="27"/>
      <c r="G804" s="27"/>
      <c r="H804" s="11"/>
      <c r="I804" s="11"/>
      <c r="J804" s="12"/>
      <c r="K804" s="12"/>
      <c r="L804" s="28" t="str">
        <f aca="false">IF(AND(ISNUMBER(J804),ISNUMBER(K804),N(J804)&gt;0),1-K804/J804,"")</f>
        <v/>
      </c>
      <c r="M804" s="29"/>
      <c r="N804" s="30"/>
      <c r="O804" s="30"/>
      <c r="P804" s="11"/>
      <c r="Q804" s="31"/>
      <c r="R804" s="11"/>
      <c r="S804" s="11"/>
      <c r="T804" s="11"/>
      <c r="U804" s="32" t="str">
        <f aca="false">IF((LEN(A804)+LEN(B804)+LEN(C804)+LEN(D804)+LEN(E804)+LEN(F804)+LEN(G804)+LEN(H804)+LEN(I804)+LEN(J804)+LEN(K804)+LEN(M804)+LEN(N804)+LEN(O804)+LEN(P804)+LEN(Q804)+LEN(R804)+LEN(S804)+LEN(T804))=0,"",IF(OR(A804="",B804="",C804="",D804="",E804="",J804="",K804="",N804=""),"⚠ Champ obligatoire manquant",IF(AND(ISNUMBER(K804),ISNUMBER(J804),N(K804)&gt;N(J804)),"⚠ Prix Autopiec &gt; prix public",IF(COUNTIFS($A$2:$A$1001,A804,$B$2:$B$1001,B804)&gt;1,"⚠ Référence en double","✔ OK"))))</f>
        <v/>
      </c>
    </row>
    <row r="805" customFormat="false" ht="15" hidden="false" customHeight="false" outlineLevel="0" collapsed="false">
      <c r="A805" s="11"/>
      <c r="B805" s="27"/>
      <c r="C805" s="11"/>
      <c r="D805" s="11"/>
      <c r="E805" s="11"/>
      <c r="F805" s="27"/>
      <c r="G805" s="27"/>
      <c r="H805" s="11"/>
      <c r="I805" s="11"/>
      <c r="J805" s="12"/>
      <c r="K805" s="12"/>
      <c r="L805" s="28" t="str">
        <f aca="false">IF(AND(ISNUMBER(J805),ISNUMBER(K805),N(J805)&gt;0),1-K805/J805,"")</f>
        <v/>
      </c>
      <c r="M805" s="29"/>
      <c r="N805" s="30"/>
      <c r="O805" s="30"/>
      <c r="P805" s="11"/>
      <c r="Q805" s="31"/>
      <c r="R805" s="11"/>
      <c r="S805" s="11"/>
      <c r="T805" s="11"/>
      <c r="U805" s="32" t="str">
        <f aca="false">IF((LEN(A805)+LEN(B805)+LEN(C805)+LEN(D805)+LEN(E805)+LEN(F805)+LEN(G805)+LEN(H805)+LEN(I805)+LEN(J805)+LEN(K805)+LEN(M805)+LEN(N805)+LEN(O805)+LEN(P805)+LEN(Q805)+LEN(R805)+LEN(S805)+LEN(T805))=0,"",IF(OR(A805="",B805="",C805="",D805="",E805="",J805="",K805="",N805=""),"⚠ Champ obligatoire manquant",IF(AND(ISNUMBER(K805),ISNUMBER(J805),N(K805)&gt;N(J805)),"⚠ Prix Autopiec &gt; prix public",IF(COUNTIFS($A$2:$A$1001,A805,$B$2:$B$1001,B805)&gt;1,"⚠ Référence en double","✔ OK"))))</f>
        <v/>
      </c>
    </row>
    <row r="806" customFormat="false" ht="15" hidden="false" customHeight="false" outlineLevel="0" collapsed="false">
      <c r="A806" s="11"/>
      <c r="B806" s="27"/>
      <c r="C806" s="11"/>
      <c r="D806" s="11"/>
      <c r="E806" s="11"/>
      <c r="F806" s="27"/>
      <c r="G806" s="27"/>
      <c r="H806" s="11"/>
      <c r="I806" s="11"/>
      <c r="J806" s="12"/>
      <c r="K806" s="12"/>
      <c r="L806" s="28" t="str">
        <f aca="false">IF(AND(ISNUMBER(J806),ISNUMBER(K806),N(J806)&gt;0),1-K806/J806,"")</f>
        <v/>
      </c>
      <c r="M806" s="29"/>
      <c r="N806" s="30"/>
      <c r="O806" s="30"/>
      <c r="P806" s="11"/>
      <c r="Q806" s="31"/>
      <c r="R806" s="11"/>
      <c r="S806" s="11"/>
      <c r="T806" s="11"/>
      <c r="U806" s="32" t="str">
        <f aca="false">IF((LEN(A806)+LEN(B806)+LEN(C806)+LEN(D806)+LEN(E806)+LEN(F806)+LEN(G806)+LEN(H806)+LEN(I806)+LEN(J806)+LEN(K806)+LEN(M806)+LEN(N806)+LEN(O806)+LEN(P806)+LEN(Q806)+LEN(R806)+LEN(S806)+LEN(T806))=0,"",IF(OR(A806="",B806="",C806="",D806="",E806="",J806="",K806="",N806=""),"⚠ Champ obligatoire manquant",IF(AND(ISNUMBER(K806),ISNUMBER(J806),N(K806)&gt;N(J806)),"⚠ Prix Autopiec &gt; prix public",IF(COUNTIFS($A$2:$A$1001,A806,$B$2:$B$1001,B806)&gt;1,"⚠ Référence en double","✔ OK"))))</f>
        <v/>
      </c>
    </row>
    <row r="807" customFormat="false" ht="15" hidden="false" customHeight="false" outlineLevel="0" collapsed="false">
      <c r="A807" s="11"/>
      <c r="B807" s="27"/>
      <c r="C807" s="11"/>
      <c r="D807" s="11"/>
      <c r="E807" s="11"/>
      <c r="F807" s="27"/>
      <c r="G807" s="27"/>
      <c r="H807" s="11"/>
      <c r="I807" s="11"/>
      <c r="J807" s="12"/>
      <c r="K807" s="12"/>
      <c r="L807" s="28" t="str">
        <f aca="false">IF(AND(ISNUMBER(J807),ISNUMBER(K807),N(J807)&gt;0),1-K807/J807,"")</f>
        <v/>
      </c>
      <c r="M807" s="29"/>
      <c r="N807" s="30"/>
      <c r="O807" s="30"/>
      <c r="P807" s="11"/>
      <c r="Q807" s="31"/>
      <c r="R807" s="11"/>
      <c r="S807" s="11"/>
      <c r="T807" s="11"/>
      <c r="U807" s="32" t="str">
        <f aca="false">IF((LEN(A807)+LEN(B807)+LEN(C807)+LEN(D807)+LEN(E807)+LEN(F807)+LEN(G807)+LEN(H807)+LEN(I807)+LEN(J807)+LEN(K807)+LEN(M807)+LEN(N807)+LEN(O807)+LEN(P807)+LEN(Q807)+LEN(R807)+LEN(S807)+LEN(T807))=0,"",IF(OR(A807="",B807="",C807="",D807="",E807="",J807="",K807="",N807=""),"⚠ Champ obligatoire manquant",IF(AND(ISNUMBER(K807),ISNUMBER(J807),N(K807)&gt;N(J807)),"⚠ Prix Autopiec &gt; prix public",IF(COUNTIFS($A$2:$A$1001,A807,$B$2:$B$1001,B807)&gt;1,"⚠ Référence en double","✔ OK"))))</f>
        <v/>
      </c>
    </row>
    <row r="808" customFormat="false" ht="15" hidden="false" customHeight="false" outlineLevel="0" collapsed="false">
      <c r="A808" s="11"/>
      <c r="B808" s="27"/>
      <c r="C808" s="11"/>
      <c r="D808" s="11"/>
      <c r="E808" s="11"/>
      <c r="F808" s="27"/>
      <c r="G808" s="27"/>
      <c r="H808" s="11"/>
      <c r="I808" s="11"/>
      <c r="J808" s="12"/>
      <c r="K808" s="12"/>
      <c r="L808" s="28" t="str">
        <f aca="false">IF(AND(ISNUMBER(J808),ISNUMBER(K808),N(J808)&gt;0),1-K808/J808,"")</f>
        <v/>
      </c>
      <c r="M808" s="29"/>
      <c r="N808" s="30"/>
      <c r="O808" s="30"/>
      <c r="P808" s="11"/>
      <c r="Q808" s="31"/>
      <c r="R808" s="11"/>
      <c r="S808" s="11"/>
      <c r="T808" s="11"/>
      <c r="U808" s="32" t="str">
        <f aca="false">IF((LEN(A808)+LEN(B808)+LEN(C808)+LEN(D808)+LEN(E808)+LEN(F808)+LEN(G808)+LEN(H808)+LEN(I808)+LEN(J808)+LEN(K808)+LEN(M808)+LEN(N808)+LEN(O808)+LEN(P808)+LEN(Q808)+LEN(R808)+LEN(S808)+LEN(T808))=0,"",IF(OR(A808="",B808="",C808="",D808="",E808="",J808="",K808="",N808=""),"⚠ Champ obligatoire manquant",IF(AND(ISNUMBER(K808),ISNUMBER(J808),N(K808)&gt;N(J808)),"⚠ Prix Autopiec &gt; prix public",IF(COUNTIFS($A$2:$A$1001,A808,$B$2:$B$1001,B808)&gt;1,"⚠ Référence en double","✔ OK"))))</f>
        <v/>
      </c>
    </row>
    <row r="809" customFormat="false" ht="15" hidden="false" customHeight="false" outlineLevel="0" collapsed="false">
      <c r="A809" s="11"/>
      <c r="B809" s="27"/>
      <c r="C809" s="11"/>
      <c r="D809" s="11"/>
      <c r="E809" s="11"/>
      <c r="F809" s="27"/>
      <c r="G809" s="27"/>
      <c r="H809" s="11"/>
      <c r="I809" s="11"/>
      <c r="J809" s="12"/>
      <c r="K809" s="12"/>
      <c r="L809" s="28" t="str">
        <f aca="false">IF(AND(ISNUMBER(J809),ISNUMBER(K809),N(J809)&gt;0),1-K809/J809,"")</f>
        <v/>
      </c>
      <c r="M809" s="29"/>
      <c r="N809" s="30"/>
      <c r="O809" s="30"/>
      <c r="P809" s="11"/>
      <c r="Q809" s="31"/>
      <c r="R809" s="11"/>
      <c r="S809" s="11"/>
      <c r="T809" s="11"/>
      <c r="U809" s="32" t="str">
        <f aca="false">IF((LEN(A809)+LEN(B809)+LEN(C809)+LEN(D809)+LEN(E809)+LEN(F809)+LEN(G809)+LEN(H809)+LEN(I809)+LEN(J809)+LEN(K809)+LEN(M809)+LEN(N809)+LEN(O809)+LEN(P809)+LEN(Q809)+LEN(R809)+LEN(S809)+LEN(T809))=0,"",IF(OR(A809="",B809="",C809="",D809="",E809="",J809="",K809="",N809=""),"⚠ Champ obligatoire manquant",IF(AND(ISNUMBER(K809),ISNUMBER(J809),N(K809)&gt;N(J809)),"⚠ Prix Autopiec &gt; prix public",IF(COUNTIFS($A$2:$A$1001,A809,$B$2:$B$1001,B809)&gt;1,"⚠ Référence en double","✔ OK"))))</f>
        <v/>
      </c>
    </row>
    <row r="810" customFormat="false" ht="15" hidden="false" customHeight="false" outlineLevel="0" collapsed="false">
      <c r="A810" s="11"/>
      <c r="B810" s="27"/>
      <c r="C810" s="11"/>
      <c r="D810" s="11"/>
      <c r="E810" s="11"/>
      <c r="F810" s="27"/>
      <c r="G810" s="27"/>
      <c r="H810" s="11"/>
      <c r="I810" s="11"/>
      <c r="J810" s="12"/>
      <c r="K810" s="12"/>
      <c r="L810" s="28" t="str">
        <f aca="false">IF(AND(ISNUMBER(J810),ISNUMBER(K810),N(J810)&gt;0),1-K810/J810,"")</f>
        <v/>
      </c>
      <c r="M810" s="29"/>
      <c r="N810" s="30"/>
      <c r="O810" s="30"/>
      <c r="P810" s="11"/>
      <c r="Q810" s="31"/>
      <c r="R810" s="11"/>
      <c r="S810" s="11"/>
      <c r="T810" s="11"/>
      <c r="U810" s="32" t="str">
        <f aca="false">IF((LEN(A810)+LEN(B810)+LEN(C810)+LEN(D810)+LEN(E810)+LEN(F810)+LEN(G810)+LEN(H810)+LEN(I810)+LEN(J810)+LEN(K810)+LEN(M810)+LEN(N810)+LEN(O810)+LEN(P810)+LEN(Q810)+LEN(R810)+LEN(S810)+LEN(T810))=0,"",IF(OR(A810="",B810="",C810="",D810="",E810="",J810="",K810="",N810=""),"⚠ Champ obligatoire manquant",IF(AND(ISNUMBER(K810),ISNUMBER(J810),N(K810)&gt;N(J810)),"⚠ Prix Autopiec &gt; prix public",IF(COUNTIFS($A$2:$A$1001,A810,$B$2:$B$1001,B810)&gt;1,"⚠ Référence en double","✔ OK"))))</f>
        <v/>
      </c>
    </row>
    <row r="811" customFormat="false" ht="15" hidden="false" customHeight="false" outlineLevel="0" collapsed="false">
      <c r="A811" s="11"/>
      <c r="B811" s="27"/>
      <c r="C811" s="11"/>
      <c r="D811" s="11"/>
      <c r="E811" s="11"/>
      <c r="F811" s="27"/>
      <c r="G811" s="27"/>
      <c r="H811" s="11"/>
      <c r="I811" s="11"/>
      <c r="J811" s="12"/>
      <c r="K811" s="12"/>
      <c r="L811" s="28" t="str">
        <f aca="false">IF(AND(ISNUMBER(J811),ISNUMBER(K811),N(J811)&gt;0),1-K811/J811,"")</f>
        <v/>
      </c>
      <c r="M811" s="29"/>
      <c r="N811" s="30"/>
      <c r="O811" s="30"/>
      <c r="P811" s="11"/>
      <c r="Q811" s="31"/>
      <c r="R811" s="11"/>
      <c r="S811" s="11"/>
      <c r="T811" s="11"/>
      <c r="U811" s="32" t="str">
        <f aca="false">IF((LEN(A811)+LEN(B811)+LEN(C811)+LEN(D811)+LEN(E811)+LEN(F811)+LEN(G811)+LEN(H811)+LEN(I811)+LEN(J811)+LEN(K811)+LEN(M811)+LEN(N811)+LEN(O811)+LEN(P811)+LEN(Q811)+LEN(R811)+LEN(S811)+LEN(T811))=0,"",IF(OR(A811="",B811="",C811="",D811="",E811="",J811="",K811="",N811=""),"⚠ Champ obligatoire manquant",IF(AND(ISNUMBER(K811),ISNUMBER(J811),N(K811)&gt;N(J811)),"⚠ Prix Autopiec &gt; prix public",IF(COUNTIFS($A$2:$A$1001,A811,$B$2:$B$1001,B811)&gt;1,"⚠ Référence en double","✔ OK"))))</f>
        <v/>
      </c>
    </row>
    <row r="812" customFormat="false" ht="15" hidden="false" customHeight="false" outlineLevel="0" collapsed="false">
      <c r="A812" s="11"/>
      <c r="B812" s="27"/>
      <c r="C812" s="11"/>
      <c r="D812" s="11"/>
      <c r="E812" s="11"/>
      <c r="F812" s="27"/>
      <c r="G812" s="27"/>
      <c r="H812" s="11"/>
      <c r="I812" s="11"/>
      <c r="J812" s="12"/>
      <c r="K812" s="12"/>
      <c r="L812" s="28" t="str">
        <f aca="false">IF(AND(ISNUMBER(J812),ISNUMBER(K812),N(J812)&gt;0),1-K812/J812,"")</f>
        <v/>
      </c>
      <c r="M812" s="29"/>
      <c r="N812" s="30"/>
      <c r="O812" s="30"/>
      <c r="P812" s="11"/>
      <c r="Q812" s="31"/>
      <c r="R812" s="11"/>
      <c r="S812" s="11"/>
      <c r="T812" s="11"/>
      <c r="U812" s="32" t="str">
        <f aca="false">IF((LEN(A812)+LEN(B812)+LEN(C812)+LEN(D812)+LEN(E812)+LEN(F812)+LEN(G812)+LEN(H812)+LEN(I812)+LEN(J812)+LEN(K812)+LEN(M812)+LEN(N812)+LEN(O812)+LEN(P812)+LEN(Q812)+LEN(R812)+LEN(S812)+LEN(T812))=0,"",IF(OR(A812="",B812="",C812="",D812="",E812="",J812="",K812="",N812=""),"⚠ Champ obligatoire manquant",IF(AND(ISNUMBER(K812),ISNUMBER(J812),N(K812)&gt;N(J812)),"⚠ Prix Autopiec &gt; prix public",IF(COUNTIFS($A$2:$A$1001,A812,$B$2:$B$1001,B812)&gt;1,"⚠ Référence en double","✔ OK"))))</f>
        <v/>
      </c>
    </row>
    <row r="813" customFormat="false" ht="15" hidden="false" customHeight="false" outlineLevel="0" collapsed="false">
      <c r="A813" s="11"/>
      <c r="B813" s="27"/>
      <c r="C813" s="11"/>
      <c r="D813" s="11"/>
      <c r="E813" s="11"/>
      <c r="F813" s="27"/>
      <c r="G813" s="27"/>
      <c r="H813" s="11"/>
      <c r="I813" s="11"/>
      <c r="J813" s="12"/>
      <c r="K813" s="12"/>
      <c r="L813" s="28" t="str">
        <f aca="false">IF(AND(ISNUMBER(J813),ISNUMBER(K813),N(J813)&gt;0),1-K813/J813,"")</f>
        <v/>
      </c>
      <c r="M813" s="29"/>
      <c r="N813" s="30"/>
      <c r="O813" s="30"/>
      <c r="P813" s="11"/>
      <c r="Q813" s="31"/>
      <c r="R813" s="11"/>
      <c r="S813" s="11"/>
      <c r="T813" s="11"/>
      <c r="U813" s="32" t="str">
        <f aca="false">IF((LEN(A813)+LEN(B813)+LEN(C813)+LEN(D813)+LEN(E813)+LEN(F813)+LEN(G813)+LEN(H813)+LEN(I813)+LEN(J813)+LEN(K813)+LEN(M813)+LEN(N813)+LEN(O813)+LEN(P813)+LEN(Q813)+LEN(R813)+LEN(S813)+LEN(T813))=0,"",IF(OR(A813="",B813="",C813="",D813="",E813="",J813="",K813="",N813=""),"⚠ Champ obligatoire manquant",IF(AND(ISNUMBER(K813),ISNUMBER(J813),N(K813)&gt;N(J813)),"⚠ Prix Autopiec &gt; prix public",IF(COUNTIFS($A$2:$A$1001,A813,$B$2:$B$1001,B813)&gt;1,"⚠ Référence en double","✔ OK"))))</f>
        <v/>
      </c>
    </row>
    <row r="814" customFormat="false" ht="15" hidden="false" customHeight="false" outlineLevel="0" collapsed="false">
      <c r="A814" s="11"/>
      <c r="B814" s="27"/>
      <c r="C814" s="11"/>
      <c r="D814" s="11"/>
      <c r="E814" s="11"/>
      <c r="F814" s="27"/>
      <c r="G814" s="27"/>
      <c r="H814" s="11"/>
      <c r="I814" s="11"/>
      <c r="J814" s="12"/>
      <c r="K814" s="12"/>
      <c r="L814" s="28" t="str">
        <f aca="false">IF(AND(ISNUMBER(J814),ISNUMBER(K814),N(J814)&gt;0),1-K814/J814,"")</f>
        <v/>
      </c>
      <c r="M814" s="29"/>
      <c r="N814" s="30"/>
      <c r="O814" s="30"/>
      <c r="P814" s="11"/>
      <c r="Q814" s="31"/>
      <c r="R814" s="11"/>
      <c r="S814" s="11"/>
      <c r="T814" s="11"/>
      <c r="U814" s="32" t="str">
        <f aca="false">IF((LEN(A814)+LEN(B814)+LEN(C814)+LEN(D814)+LEN(E814)+LEN(F814)+LEN(G814)+LEN(H814)+LEN(I814)+LEN(J814)+LEN(K814)+LEN(M814)+LEN(N814)+LEN(O814)+LEN(P814)+LEN(Q814)+LEN(R814)+LEN(S814)+LEN(T814))=0,"",IF(OR(A814="",B814="",C814="",D814="",E814="",J814="",K814="",N814=""),"⚠ Champ obligatoire manquant",IF(AND(ISNUMBER(K814),ISNUMBER(J814),N(K814)&gt;N(J814)),"⚠ Prix Autopiec &gt; prix public",IF(COUNTIFS($A$2:$A$1001,A814,$B$2:$B$1001,B814)&gt;1,"⚠ Référence en double","✔ OK"))))</f>
        <v/>
      </c>
    </row>
    <row r="815" customFormat="false" ht="15" hidden="false" customHeight="false" outlineLevel="0" collapsed="false">
      <c r="A815" s="11"/>
      <c r="B815" s="27"/>
      <c r="C815" s="11"/>
      <c r="D815" s="11"/>
      <c r="E815" s="11"/>
      <c r="F815" s="27"/>
      <c r="G815" s="27"/>
      <c r="H815" s="11"/>
      <c r="I815" s="11"/>
      <c r="J815" s="12"/>
      <c r="K815" s="12"/>
      <c r="L815" s="28" t="str">
        <f aca="false">IF(AND(ISNUMBER(J815),ISNUMBER(K815),N(J815)&gt;0),1-K815/J815,"")</f>
        <v/>
      </c>
      <c r="M815" s="29"/>
      <c r="N815" s="30"/>
      <c r="O815" s="30"/>
      <c r="P815" s="11"/>
      <c r="Q815" s="31"/>
      <c r="R815" s="11"/>
      <c r="S815" s="11"/>
      <c r="T815" s="11"/>
      <c r="U815" s="32" t="str">
        <f aca="false">IF((LEN(A815)+LEN(B815)+LEN(C815)+LEN(D815)+LEN(E815)+LEN(F815)+LEN(G815)+LEN(H815)+LEN(I815)+LEN(J815)+LEN(K815)+LEN(M815)+LEN(N815)+LEN(O815)+LEN(P815)+LEN(Q815)+LEN(R815)+LEN(S815)+LEN(T815))=0,"",IF(OR(A815="",B815="",C815="",D815="",E815="",J815="",K815="",N815=""),"⚠ Champ obligatoire manquant",IF(AND(ISNUMBER(K815),ISNUMBER(J815),N(K815)&gt;N(J815)),"⚠ Prix Autopiec &gt; prix public",IF(COUNTIFS($A$2:$A$1001,A815,$B$2:$B$1001,B815)&gt;1,"⚠ Référence en double","✔ OK"))))</f>
        <v/>
      </c>
    </row>
    <row r="816" customFormat="false" ht="15" hidden="false" customHeight="false" outlineLevel="0" collapsed="false">
      <c r="A816" s="11"/>
      <c r="B816" s="27"/>
      <c r="C816" s="11"/>
      <c r="D816" s="11"/>
      <c r="E816" s="11"/>
      <c r="F816" s="27"/>
      <c r="G816" s="27"/>
      <c r="H816" s="11"/>
      <c r="I816" s="11"/>
      <c r="J816" s="12"/>
      <c r="K816" s="12"/>
      <c r="L816" s="28" t="str">
        <f aca="false">IF(AND(ISNUMBER(J816),ISNUMBER(K816),N(J816)&gt;0),1-K816/J816,"")</f>
        <v/>
      </c>
      <c r="M816" s="29"/>
      <c r="N816" s="30"/>
      <c r="O816" s="30"/>
      <c r="P816" s="11"/>
      <c r="Q816" s="31"/>
      <c r="R816" s="11"/>
      <c r="S816" s="11"/>
      <c r="T816" s="11"/>
      <c r="U816" s="32" t="str">
        <f aca="false">IF((LEN(A816)+LEN(B816)+LEN(C816)+LEN(D816)+LEN(E816)+LEN(F816)+LEN(G816)+LEN(H816)+LEN(I816)+LEN(J816)+LEN(K816)+LEN(M816)+LEN(N816)+LEN(O816)+LEN(P816)+LEN(Q816)+LEN(R816)+LEN(S816)+LEN(T816))=0,"",IF(OR(A816="",B816="",C816="",D816="",E816="",J816="",K816="",N816=""),"⚠ Champ obligatoire manquant",IF(AND(ISNUMBER(K816),ISNUMBER(J816),N(K816)&gt;N(J816)),"⚠ Prix Autopiec &gt; prix public",IF(COUNTIFS($A$2:$A$1001,A816,$B$2:$B$1001,B816)&gt;1,"⚠ Référence en double","✔ OK"))))</f>
        <v/>
      </c>
    </row>
    <row r="817" customFormat="false" ht="15" hidden="false" customHeight="false" outlineLevel="0" collapsed="false">
      <c r="A817" s="11"/>
      <c r="B817" s="27"/>
      <c r="C817" s="11"/>
      <c r="D817" s="11"/>
      <c r="E817" s="11"/>
      <c r="F817" s="27"/>
      <c r="G817" s="27"/>
      <c r="H817" s="11"/>
      <c r="I817" s="11"/>
      <c r="J817" s="12"/>
      <c r="K817" s="12"/>
      <c r="L817" s="28" t="str">
        <f aca="false">IF(AND(ISNUMBER(J817),ISNUMBER(K817),N(J817)&gt;0),1-K817/J817,"")</f>
        <v/>
      </c>
      <c r="M817" s="29"/>
      <c r="N817" s="30"/>
      <c r="O817" s="30"/>
      <c r="P817" s="11"/>
      <c r="Q817" s="31"/>
      <c r="R817" s="11"/>
      <c r="S817" s="11"/>
      <c r="T817" s="11"/>
      <c r="U817" s="32" t="str">
        <f aca="false">IF((LEN(A817)+LEN(B817)+LEN(C817)+LEN(D817)+LEN(E817)+LEN(F817)+LEN(G817)+LEN(H817)+LEN(I817)+LEN(J817)+LEN(K817)+LEN(M817)+LEN(N817)+LEN(O817)+LEN(P817)+LEN(Q817)+LEN(R817)+LEN(S817)+LEN(T817))=0,"",IF(OR(A817="",B817="",C817="",D817="",E817="",J817="",K817="",N817=""),"⚠ Champ obligatoire manquant",IF(AND(ISNUMBER(K817),ISNUMBER(J817),N(K817)&gt;N(J817)),"⚠ Prix Autopiec &gt; prix public",IF(COUNTIFS($A$2:$A$1001,A817,$B$2:$B$1001,B817)&gt;1,"⚠ Référence en double","✔ OK"))))</f>
        <v/>
      </c>
    </row>
    <row r="818" customFormat="false" ht="15" hidden="false" customHeight="false" outlineLevel="0" collapsed="false">
      <c r="A818" s="11"/>
      <c r="B818" s="27"/>
      <c r="C818" s="11"/>
      <c r="D818" s="11"/>
      <c r="E818" s="11"/>
      <c r="F818" s="27"/>
      <c r="G818" s="27"/>
      <c r="H818" s="11"/>
      <c r="I818" s="11"/>
      <c r="J818" s="12"/>
      <c r="K818" s="12"/>
      <c r="L818" s="28" t="str">
        <f aca="false">IF(AND(ISNUMBER(J818),ISNUMBER(K818),N(J818)&gt;0),1-K818/J818,"")</f>
        <v/>
      </c>
      <c r="M818" s="29"/>
      <c r="N818" s="30"/>
      <c r="O818" s="30"/>
      <c r="P818" s="11"/>
      <c r="Q818" s="31"/>
      <c r="R818" s="11"/>
      <c r="S818" s="11"/>
      <c r="T818" s="11"/>
      <c r="U818" s="32" t="str">
        <f aca="false">IF((LEN(A818)+LEN(B818)+LEN(C818)+LEN(D818)+LEN(E818)+LEN(F818)+LEN(G818)+LEN(H818)+LEN(I818)+LEN(J818)+LEN(K818)+LEN(M818)+LEN(N818)+LEN(O818)+LEN(P818)+LEN(Q818)+LEN(R818)+LEN(S818)+LEN(T818))=0,"",IF(OR(A818="",B818="",C818="",D818="",E818="",J818="",K818="",N818=""),"⚠ Champ obligatoire manquant",IF(AND(ISNUMBER(K818),ISNUMBER(J818),N(K818)&gt;N(J818)),"⚠ Prix Autopiec &gt; prix public",IF(COUNTIFS($A$2:$A$1001,A818,$B$2:$B$1001,B818)&gt;1,"⚠ Référence en double","✔ OK"))))</f>
        <v/>
      </c>
    </row>
    <row r="819" customFormat="false" ht="15" hidden="false" customHeight="false" outlineLevel="0" collapsed="false">
      <c r="A819" s="11"/>
      <c r="B819" s="27"/>
      <c r="C819" s="11"/>
      <c r="D819" s="11"/>
      <c r="E819" s="11"/>
      <c r="F819" s="27"/>
      <c r="G819" s="27"/>
      <c r="H819" s="11"/>
      <c r="I819" s="11"/>
      <c r="J819" s="12"/>
      <c r="K819" s="12"/>
      <c r="L819" s="28" t="str">
        <f aca="false">IF(AND(ISNUMBER(J819),ISNUMBER(K819),N(J819)&gt;0),1-K819/J819,"")</f>
        <v/>
      </c>
      <c r="M819" s="29"/>
      <c r="N819" s="30"/>
      <c r="O819" s="30"/>
      <c r="P819" s="11"/>
      <c r="Q819" s="31"/>
      <c r="R819" s="11"/>
      <c r="S819" s="11"/>
      <c r="T819" s="11"/>
      <c r="U819" s="32" t="str">
        <f aca="false">IF((LEN(A819)+LEN(B819)+LEN(C819)+LEN(D819)+LEN(E819)+LEN(F819)+LEN(G819)+LEN(H819)+LEN(I819)+LEN(J819)+LEN(K819)+LEN(M819)+LEN(N819)+LEN(O819)+LEN(P819)+LEN(Q819)+LEN(R819)+LEN(S819)+LEN(T819))=0,"",IF(OR(A819="",B819="",C819="",D819="",E819="",J819="",K819="",N819=""),"⚠ Champ obligatoire manquant",IF(AND(ISNUMBER(K819),ISNUMBER(J819),N(K819)&gt;N(J819)),"⚠ Prix Autopiec &gt; prix public",IF(COUNTIFS($A$2:$A$1001,A819,$B$2:$B$1001,B819)&gt;1,"⚠ Référence en double","✔ OK"))))</f>
        <v/>
      </c>
    </row>
    <row r="820" customFormat="false" ht="15" hidden="false" customHeight="false" outlineLevel="0" collapsed="false">
      <c r="A820" s="11"/>
      <c r="B820" s="27"/>
      <c r="C820" s="11"/>
      <c r="D820" s="11"/>
      <c r="E820" s="11"/>
      <c r="F820" s="27"/>
      <c r="G820" s="27"/>
      <c r="H820" s="11"/>
      <c r="I820" s="11"/>
      <c r="J820" s="12"/>
      <c r="K820" s="12"/>
      <c r="L820" s="28" t="str">
        <f aca="false">IF(AND(ISNUMBER(J820),ISNUMBER(K820),N(J820)&gt;0),1-K820/J820,"")</f>
        <v/>
      </c>
      <c r="M820" s="29"/>
      <c r="N820" s="30"/>
      <c r="O820" s="30"/>
      <c r="P820" s="11"/>
      <c r="Q820" s="31"/>
      <c r="R820" s="11"/>
      <c r="S820" s="11"/>
      <c r="T820" s="11"/>
      <c r="U820" s="32" t="str">
        <f aca="false">IF((LEN(A820)+LEN(B820)+LEN(C820)+LEN(D820)+LEN(E820)+LEN(F820)+LEN(G820)+LEN(H820)+LEN(I820)+LEN(J820)+LEN(K820)+LEN(M820)+LEN(N820)+LEN(O820)+LEN(P820)+LEN(Q820)+LEN(R820)+LEN(S820)+LEN(T820))=0,"",IF(OR(A820="",B820="",C820="",D820="",E820="",J820="",K820="",N820=""),"⚠ Champ obligatoire manquant",IF(AND(ISNUMBER(K820),ISNUMBER(J820),N(K820)&gt;N(J820)),"⚠ Prix Autopiec &gt; prix public",IF(COUNTIFS($A$2:$A$1001,A820,$B$2:$B$1001,B820)&gt;1,"⚠ Référence en double","✔ OK"))))</f>
        <v/>
      </c>
    </row>
    <row r="821" customFormat="false" ht="15" hidden="false" customHeight="false" outlineLevel="0" collapsed="false">
      <c r="A821" s="11"/>
      <c r="B821" s="27"/>
      <c r="C821" s="11"/>
      <c r="D821" s="11"/>
      <c r="E821" s="11"/>
      <c r="F821" s="27"/>
      <c r="G821" s="27"/>
      <c r="H821" s="11"/>
      <c r="I821" s="11"/>
      <c r="J821" s="12"/>
      <c r="K821" s="12"/>
      <c r="L821" s="28" t="str">
        <f aca="false">IF(AND(ISNUMBER(J821),ISNUMBER(K821),N(J821)&gt;0),1-K821/J821,"")</f>
        <v/>
      </c>
      <c r="M821" s="29"/>
      <c r="N821" s="30"/>
      <c r="O821" s="30"/>
      <c r="P821" s="11"/>
      <c r="Q821" s="31"/>
      <c r="R821" s="11"/>
      <c r="S821" s="11"/>
      <c r="T821" s="11"/>
      <c r="U821" s="32" t="str">
        <f aca="false">IF((LEN(A821)+LEN(B821)+LEN(C821)+LEN(D821)+LEN(E821)+LEN(F821)+LEN(G821)+LEN(H821)+LEN(I821)+LEN(J821)+LEN(K821)+LEN(M821)+LEN(N821)+LEN(O821)+LEN(P821)+LEN(Q821)+LEN(R821)+LEN(S821)+LEN(T821))=0,"",IF(OR(A821="",B821="",C821="",D821="",E821="",J821="",K821="",N821=""),"⚠ Champ obligatoire manquant",IF(AND(ISNUMBER(K821),ISNUMBER(J821),N(K821)&gt;N(J821)),"⚠ Prix Autopiec &gt; prix public",IF(COUNTIFS($A$2:$A$1001,A821,$B$2:$B$1001,B821)&gt;1,"⚠ Référence en double","✔ OK"))))</f>
        <v/>
      </c>
    </row>
    <row r="822" customFormat="false" ht="15" hidden="false" customHeight="false" outlineLevel="0" collapsed="false">
      <c r="A822" s="11"/>
      <c r="B822" s="27"/>
      <c r="C822" s="11"/>
      <c r="D822" s="11"/>
      <c r="E822" s="11"/>
      <c r="F822" s="27"/>
      <c r="G822" s="27"/>
      <c r="H822" s="11"/>
      <c r="I822" s="11"/>
      <c r="J822" s="12"/>
      <c r="K822" s="12"/>
      <c r="L822" s="28" t="str">
        <f aca="false">IF(AND(ISNUMBER(J822),ISNUMBER(K822),N(J822)&gt;0),1-K822/J822,"")</f>
        <v/>
      </c>
      <c r="M822" s="29"/>
      <c r="N822" s="30"/>
      <c r="O822" s="30"/>
      <c r="P822" s="11"/>
      <c r="Q822" s="31"/>
      <c r="R822" s="11"/>
      <c r="S822" s="11"/>
      <c r="T822" s="11"/>
      <c r="U822" s="32" t="str">
        <f aca="false">IF((LEN(A822)+LEN(B822)+LEN(C822)+LEN(D822)+LEN(E822)+LEN(F822)+LEN(G822)+LEN(H822)+LEN(I822)+LEN(J822)+LEN(K822)+LEN(M822)+LEN(N822)+LEN(O822)+LEN(P822)+LEN(Q822)+LEN(R822)+LEN(S822)+LEN(T822))=0,"",IF(OR(A822="",B822="",C822="",D822="",E822="",J822="",K822="",N822=""),"⚠ Champ obligatoire manquant",IF(AND(ISNUMBER(K822),ISNUMBER(J822),N(K822)&gt;N(J822)),"⚠ Prix Autopiec &gt; prix public",IF(COUNTIFS($A$2:$A$1001,A822,$B$2:$B$1001,B822)&gt;1,"⚠ Référence en double","✔ OK"))))</f>
        <v/>
      </c>
    </row>
    <row r="823" customFormat="false" ht="15" hidden="false" customHeight="false" outlineLevel="0" collapsed="false">
      <c r="A823" s="11"/>
      <c r="B823" s="27"/>
      <c r="C823" s="11"/>
      <c r="D823" s="11"/>
      <c r="E823" s="11"/>
      <c r="F823" s="27"/>
      <c r="G823" s="27"/>
      <c r="H823" s="11"/>
      <c r="I823" s="11"/>
      <c r="J823" s="12"/>
      <c r="K823" s="12"/>
      <c r="L823" s="28" t="str">
        <f aca="false">IF(AND(ISNUMBER(J823),ISNUMBER(K823),N(J823)&gt;0),1-K823/J823,"")</f>
        <v/>
      </c>
      <c r="M823" s="29"/>
      <c r="N823" s="30"/>
      <c r="O823" s="30"/>
      <c r="P823" s="11"/>
      <c r="Q823" s="31"/>
      <c r="R823" s="11"/>
      <c r="S823" s="11"/>
      <c r="T823" s="11"/>
      <c r="U823" s="32" t="str">
        <f aca="false">IF((LEN(A823)+LEN(B823)+LEN(C823)+LEN(D823)+LEN(E823)+LEN(F823)+LEN(G823)+LEN(H823)+LEN(I823)+LEN(J823)+LEN(K823)+LEN(M823)+LEN(N823)+LEN(O823)+LEN(P823)+LEN(Q823)+LEN(R823)+LEN(S823)+LEN(T823))=0,"",IF(OR(A823="",B823="",C823="",D823="",E823="",J823="",K823="",N823=""),"⚠ Champ obligatoire manquant",IF(AND(ISNUMBER(K823),ISNUMBER(J823),N(K823)&gt;N(J823)),"⚠ Prix Autopiec &gt; prix public",IF(COUNTIFS($A$2:$A$1001,A823,$B$2:$B$1001,B823)&gt;1,"⚠ Référence en double","✔ OK"))))</f>
        <v/>
      </c>
    </row>
    <row r="824" customFormat="false" ht="15" hidden="false" customHeight="false" outlineLevel="0" collapsed="false">
      <c r="A824" s="11"/>
      <c r="B824" s="27"/>
      <c r="C824" s="11"/>
      <c r="D824" s="11"/>
      <c r="E824" s="11"/>
      <c r="F824" s="27"/>
      <c r="G824" s="27"/>
      <c r="H824" s="11"/>
      <c r="I824" s="11"/>
      <c r="J824" s="12"/>
      <c r="K824" s="12"/>
      <c r="L824" s="28" t="str">
        <f aca="false">IF(AND(ISNUMBER(J824),ISNUMBER(K824),N(J824)&gt;0),1-K824/J824,"")</f>
        <v/>
      </c>
      <c r="M824" s="29"/>
      <c r="N824" s="30"/>
      <c r="O824" s="30"/>
      <c r="P824" s="11"/>
      <c r="Q824" s="31"/>
      <c r="R824" s="11"/>
      <c r="S824" s="11"/>
      <c r="T824" s="11"/>
      <c r="U824" s="32" t="str">
        <f aca="false">IF((LEN(A824)+LEN(B824)+LEN(C824)+LEN(D824)+LEN(E824)+LEN(F824)+LEN(G824)+LEN(H824)+LEN(I824)+LEN(J824)+LEN(K824)+LEN(M824)+LEN(N824)+LEN(O824)+LEN(P824)+LEN(Q824)+LEN(R824)+LEN(S824)+LEN(T824))=0,"",IF(OR(A824="",B824="",C824="",D824="",E824="",J824="",K824="",N824=""),"⚠ Champ obligatoire manquant",IF(AND(ISNUMBER(K824),ISNUMBER(J824),N(K824)&gt;N(J824)),"⚠ Prix Autopiec &gt; prix public",IF(COUNTIFS($A$2:$A$1001,A824,$B$2:$B$1001,B824)&gt;1,"⚠ Référence en double","✔ OK"))))</f>
        <v/>
      </c>
    </row>
    <row r="825" customFormat="false" ht="15" hidden="false" customHeight="false" outlineLevel="0" collapsed="false">
      <c r="A825" s="11"/>
      <c r="B825" s="27"/>
      <c r="C825" s="11"/>
      <c r="D825" s="11"/>
      <c r="E825" s="11"/>
      <c r="F825" s="27"/>
      <c r="G825" s="27"/>
      <c r="H825" s="11"/>
      <c r="I825" s="11"/>
      <c r="J825" s="12"/>
      <c r="K825" s="12"/>
      <c r="L825" s="28" t="str">
        <f aca="false">IF(AND(ISNUMBER(J825),ISNUMBER(K825),N(J825)&gt;0),1-K825/J825,"")</f>
        <v/>
      </c>
      <c r="M825" s="29"/>
      <c r="N825" s="30"/>
      <c r="O825" s="30"/>
      <c r="P825" s="11"/>
      <c r="Q825" s="31"/>
      <c r="R825" s="11"/>
      <c r="S825" s="11"/>
      <c r="T825" s="11"/>
      <c r="U825" s="32" t="str">
        <f aca="false">IF((LEN(A825)+LEN(B825)+LEN(C825)+LEN(D825)+LEN(E825)+LEN(F825)+LEN(G825)+LEN(H825)+LEN(I825)+LEN(J825)+LEN(K825)+LEN(M825)+LEN(N825)+LEN(O825)+LEN(P825)+LEN(Q825)+LEN(R825)+LEN(S825)+LEN(T825))=0,"",IF(OR(A825="",B825="",C825="",D825="",E825="",J825="",K825="",N825=""),"⚠ Champ obligatoire manquant",IF(AND(ISNUMBER(K825),ISNUMBER(J825),N(K825)&gt;N(J825)),"⚠ Prix Autopiec &gt; prix public",IF(COUNTIFS($A$2:$A$1001,A825,$B$2:$B$1001,B825)&gt;1,"⚠ Référence en double","✔ OK"))))</f>
        <v/>
      </c>
    </row>
    <row r="826" customFormat="false" ht="15" hidden="false" customHeight="false" outlineLevel="0" collapsed="false">
      <c r="A826" s="11"/>
      <c r="B826" s="27"/>
      <c r="C826" s="11"/>
      <c r="D826" s="11"/>
      <c r="E826" s="11"/>
      <c r="F826" s="27"/>
      <c r="G826" s="27"/>
      <c r="H826" s="11"/>
      <c r="I826" s="11"/>
      <c r="J826" s="12"/>
      <c r="K826" s="12"/>
      <c r="L826" s="28" t="str">
        <f aca="false">IF(AND(ISNUMBER(J826),ISNUMBER(K826),N(J826)&gt;0),1-K826/J826,"")</f>
        <v/>
      </c>
      <c r="M826" s="29"/>
      <c r="N826" s="30"/>
      <c r="O826" s="30"/>
      <c r="P826" s="11"/>
      <c r="Q826" s="31"/>
      <c r="R826" s="11"/>
      <c r="S826" s="11"/>
      <c r="T826" s="11"/>
      <c r="U826" s="32" t="str">
        <f aca="false">IF((LEN(A826)+LEN(B826)+LEN(C826)+LEN(D826)+LEN(E826)+LEN(F826)+LEN(G826)+LEN(H826)+LEN(I826)+LEN(J826)+LEN(K826)+LEN(M826)+LEN(N826)+LEN(O826)+LEN(P826)+LEN(Q826)+LEN(R826)+LEN(S826)+LEN(T826))=0,"",IF(OR(A826="",B826="",C826="",D826="",E826="",J826="",K826="",N826=""),"⚠ Champ obligatoire manquant",IF(AND(ISNUMBER(K826),ISNUMBER(J826),N(K826)&gt;N(J826)),"⚠ Prix Autopiec &gt; prix public",IF(COUNTIFS($A$2:$A$1001,A826,$B$2:$B$1001,B826)&gt;1,"⚠ Référence en double","✔ OK"))))</f>
        <v/>
      </c>
    </row>
    <row r="827" customFormat="false" ht="15" hidden="false" customHeight="false" outlineLevel="0" collapsed="false">
      <c r="A827" s="11"/>
      <c r="B827" s="27"/>
      <c r="C827" s="11"/>
      <c r="D827" s="11"/>
      <c r="E827" s="11"/>
      <c r="F827" s="27"/>
      <c r="G827" s="27"/>
      <c r="H827" s="11"/>
      <c r="I827" s="11"/>
      <c r="J827" s="12"/>
      <c r="K827" s="12"/>
      <c r="L827" s="28" t="str">
        <f aca="false">IF(AND(ISNUMBER(J827),ISNUMBER(K827),N(J827)&gt;0),1-K827/J827,"")</f>
        <v/>
      </c>
      <c r="M827" s="29"/>
      <c r="N827" s="30"/>
      <c r="O827" s="30"/>
      <c r="P827" s="11"/>
      <c r="Q827" s="31"/>
      <c r="R827" s="11"/>
      <c r="S827" s="11"/>
      <c r="T827" s="11"/>
      <c r="U827" s="32" t="str">
        <f aca="false">IF((LEN(A827)+LEN(B827)+LEN(C827)+LEN(D827)+LEN(E827)+LEN(F827)+LEN(G827)+LEN(H827)+LEN(I827)+LEN(J827)+LEN(K827)+LEN(M827)+LEN(N827)+LEN(O827)+LEN(P827)+LEN(Q827)+LEN(R827)+LEN(S827)+LEN(T827))=0,"",IF(OR(A827="",B827="",C827="",D827="",E827="",J827="",K827="",N827=""),"⚠ Champ obligatoire manquant",IF(AND(ISNUMBER(K827),ISNUMBER(J827),N(K827)&gt;N(J827)),"⚠ Prix Autopiec &gt; prix public",IF(COUNTIFS($A$2:$A$1001,A827,$B$2:$B$1001,B827)&gt;1,"⚠ Référence en double","✔ OK"))))</f>
        <v/>
      </c>
    </row>
    <row r="828" customFormat="false" ht="15" hidden="false" customHeight="false" outlineLevel="0" collapsed="false">
      <c r="A828" s="11"/>
      <c r="B828" s="27"/>
      <c r="C828" s="11"/>
      <c r="D828" s="11"/>
      <c r="E828" s="11"/>
      <c r="F828" s="27"/>
      <c r="G828" s="27"/>
      <c r="H828" s="11"/>
      <c r="I828" s="11"/>
      <c r="J828" s="12"/>
      <c r="K828" s="12"/>
      <c r="L828" s="28" t="str">
        <f aca="false">IF(AND(ISNUMBER(J828),ISNUMBER(K828),N(J828)&gt;0),1-K828/J828,"")</f>
        <v/>
      </c>
      <c r="M828" s="29"/>
      <c r="N828" s="30"/>
      <c r="O828" s="30"/>
      <c r="P828" s="11"/>
      <c r="Q828" s="31"/>
      <c r="R828" s="11"/>
      <c r="S828" s="11"/>
      <c r="T828" s="11"/>
      <c r="U828" s="32" t="str">
        <f aca="false">IF((LEN(A828)+LEN(B828)+LEN(C828)+LEN(D828)+LEN(E828)+LEN(F828)+LEN(G828)+LEN(H828)+LEN(I828)+LEN(J828)+LEN(K828)+LEN(M828)+LEN(N828)+LEN(O828)+LEN(P828)+LEN(Q828)+LEN(R828)+LEN(S828)+LEN(T828))=0,"",IF(OR(A828="",B828="",C828="",D828="",E828="",J828="",K828="",N828=""),"⚠ Champ obligatoire manquant",IF(AND(ISNUMBER(K828),ISNUMBER(J828),N(K828)&gt;N(J828)),"⚠ Prix Autopiec &gt; prix public",IF(COUNTIFS($A$2:$A$1001,A828,$B$2:$B$1001,B828)&gt;1,"⚠ Référence en double","✔ OK"))))</f>
        <v/>
      </c>
    </row>
    <row r="829" customFormat="false" ht="15" hidden="false" customHeight="false" outlineLevel="0" collapsed="false">
      <c r="A829" s="11"/>
      <c r="B829" s="27"/>
      <c r="C829" s="11"/>
      <c r="D829" s="11"/>
      <c r="E829" s="11"/>
      <c r="F829" s="27"/>
      <c r="G829" s="27"/>
      <c r="H829" s="11"/>
      <c r="I829" s="11"/>
      <c r="J829" s="12"/>
      <c r="K829" s="12"/>
      <c r="L829" s="28" t="str">
        <f aca="false">IF(AND(ISNUMBER(J829),ISNUMBER(K829),N(J829)&gt;0),1-K829/J829,"")</f>
        <v/>
      </c>
      <c r="M829" s="29"/>
      <c r="N829" s="30"/>
      <c r="O829" s="30"/>
      <c r="P829" s="11"/>
      <c r="Q829" s="31"/>
      <c r="R829" s="11"/>
      <c r="S829" s="11"/>
      <c r="T829" s="11"/>
      <c r="U829" s="32" t="str">
        <f aca="false">IF((LEN(A829)+LEN(B829)+LEN(C829)+LEN(D829)+LEN(E829)+LEN(F829)+LEN(G829)+LEN(H829)+LEN(I829)+LEN(J829)+LEN(K829)+LEN(M829)+LEN(N829)+LEN(O829)+LEN(P829)+LEN(Q829)+LEN(R829)+LEN(S829)+LEN(T829))=0,"",IF(OR(A829="",B829="",C829="",D829="",E829="",J829="",K829="",N829=""),"⚠ Champ obligatoire manquant",IF(AND(ISNUMBER(K829),ISNUMBER(J829),N(K829)&gt;N(J829)),"⚠ Prix Autopiec &gt; prix public",IF(COUNTIFS($A$2:$A$1001,A829,$B$2:$B$1001,B829)&gt;1,"⚠ Référence en double","✔ OK"))))</f>
        <v/>
      </c>
    </row>
    <row r="830" customFormat="false" ht="15" hidden="false" customHeight="false" outlineLevel="0" collapsed="false">
      <c r="A830" s="11"/>
      <c r="B830" s="27"/>
      <c r="C830" s="11"/>
      <c r="D830" s="11"/>
      <c r="E830" s="11"/>
      <c r="F830" s="27"/>
      <c r="G830" s="27"/>
      <c r="H830" s="11"/>
      <c r="I830" s="11"/>
      <c r="J830" s="12"/>
      <c r="K830" s="12"/>
      <c r="L830" s="28" t="str">
        <f aca="false">IF(AND(ISNUMBER(J830),ISNUMBER(K830),N(J830)&gt;0),1-K830/J830,"")</f>
        <v/>
      </c>
      <c r="M830" s="29"/>
      <c r="N830" s="30"/>
      <c r="O830" s="30"/>
      <c r="P830" s="11"/>
      <c r="Q830" s="31"/>
      <c r="R830" s="11"/>
      <c r="S830" s="11"/>
      <c r="T830" s="11"/>
      <c r="U830" s="32" t="str">
        <f aca="false">IF((LEN(A830)+LEN(B830)+LEN(C830)+LEN(D830)+LEN(E830)+LEN(F830)+LEN(G830)+LEN(H830)+LEN(I830)+LEN(J830)+LEN(K830)+LEN(M830)+LEN(N830)+LEN(O830)+LEN(P830)+LEN(Q830)+LEN(R830)+LEN(S830)+LEN(T830))=0,"",IF(OR(A830="",B830="",C830="",D830="",E830="",J830="",K830="",N830=""),"⚠ Champ obligatoire manquant",IF(AND(ISNUMBER(K830),ISNUMBER(J830),N(K830)&gt;N(J830)),"⚠ Prix Autopiec &gt; prix public",IF(COUNTIFS($A$2:$A$1001,A830,$B$2:$B$1001,B830)&gt;1,"⚠ Référence en double","✔ OK"))))</f>
        <v/>
      </c>
    </row>
    <row r="831" customFormat="false" ht="15" hidden="false" customHeight="false" outlineLevel="0" collapsed="false">
      <c r="A831" s="11"/>
      <c r="B831" s="27"/>
      <c r="C831" s="11"/>
      <c r="D831" s="11"/>
      <c r="E831" s="11"/>
      <c r="F831" s="27"/>
      <c r="G831" s="27"/>
      <c r="H831" s="11"/>
      <c r="I831" s="11"/>
      <c r="J831" s="12"/>
      <c r="K831" s="12"/>
      <c r="L831" s="28" t="str">
        <f aca="false">IF(AND(ISNUMBER(J831),ISNUMBER(K831),N(J831)&gt;0),1-K831/J831,"")</f>
        <v/>
      </c>
      <c r="M831" s="29"/>
      <c r="N831" s="30"/>
      <c r="O831" s="30"/>
      <c r="P831" s="11"/>
      <c r="Q831" s="31"/>
      <c r="R831" s="11"/>
      <c r="S831" s="11"/>
      <c r="T831" s="11"/>
      <c r="U831" s="32" t="str">
        <f aca="false">IF((LEN(A831)+LEN(B831)+LEN(C831)+LEN(D831)+LEN(E831)+LEN(F831)+LEN(G831)+LEN(H831)+LEN(I831)+LEN(J831)+LEN(K831)+LEN(M831)+LEN(N831)+LEN(O831)+LEN(P831)+LEN(Q831)+LEN(R831)+LEN(S831)+LEN(T831))=0,"",IF(OR(A831="",B831="",C831="",D831="",E831="",J831="",K831="",N831=""),"⚠ Champ obligatoire manquant",IF(AND(ISNUMBER(K831),ISNUMBER(J831),N(K831)&gt;N(J831)),"⚠ Prix Autopiec &gt; prix public",IF(COUNTIFS($A$2:$A$1001,A831,$B$2:$B$1001,B831)&gt;1,"⚠ Référence en double","✔ OK"))))</f>
        <v/>
      </c>
    </row>
    <row r="832" customFormat="false" ht="15" hidden="false" customHeight="false" outlineLevel="0" collapsed="false">
      <c r="A832" s="11"/>
      <c r="B832" s="27"/>
      <c r="C832" s="11"/>
      <c r="D832" s="11"/>
      <c r="E832" s="11"/>
      <c r="F832" s="27"/>
      <c r="G832" s="27"/>
      <c r="H832" s="11"/>
      <c r="I832" s="11"/>
      <c r="J832" s="12"/>
      <c r="K832" s="12"/>
      <c r="L832" s="28" t="str">
        <f aca="false">IF(AND(ISNUMBER(J832),ISNUMBER(K832),N(J832)&gt;0),1-K832/J832,"")</f>
        <v/>
      </c>
      <c r="M832" s="29"/>
      <c r="N832" s="30"/>
      <c r="O832" s="30"/>
      <c r="P832" s="11"/>
      <c r="Q832" s="31"/>
      <c r="R832" s="11"/>
      <c r="S832" s="11"/>
      <c r="T832" s="11"/>
      <c r="U832" s="32" t="str">
        <f aca="false">IF((LEN(A832)+LEN(B832)+LEN(C832)+LEN(D832)+LEN(E832)+LEN(F832)+LEN(G832)+LEN(H832)+LEN(I832)+LEN(J832)+LEN(K832)+LEN(M832)+LEN(N832)+LEN(O832)+LEN(P832)+LEN(Q832)+LEN(R832)+LEN(S832)+LEN(T832))=0,"",IF(OR(A832="",B832="",C832="",D832="",E832="",J832="",K832="",N832=""),"⚠ Champ obligatoire manquant",IF(AND(ISNUMBER(K832),ISNUMBER(J832),N(K832)&gt;N(J832)),"⚠ Prix Autopiec &gt; prix public",IF(COUNTIFS($A$2:$A$1001,A832,$B$2:$B$1001,B832)&gt;1,"⚠ Référence en double","✔ OK"))))</f>
        <v/>
      </c>
    </row>
    <row r="833" customFormat="false" ht="15" hidden="false" customHeight="false" outlineLevel="0" collapsed="false">
      <c r="A833" s="11"/>
      <c r="B833" s="27"/>
      <c r="C833" s="11"/>
      <c r="D833" s="11"/>
      <c r="E833" s="11"/>
      <c r="F833" s="27"/>
      <c r="G833" s="27"/>
      <c r="H833" s="11"/>
      <c r="I833" s="11"/>
      <c r="J833" s="12"/>
      <c r="K833" s="12"/>
      <c r="L833" s="28" t="str">
        <f aca="false">IF(AND(ISNUMBER(J833),ISNUMBER(K833),N(J833)&gt;0),1-K833/J833,"")</f>
        <v/>
      </c>
      <c r="M833" s="29"/>
      <c r="N833" s="30"/>
      <c r="O833" s="30"/>
      <c r="P833" s="11"/>
      <c r="Q833" s="31"/>
      <c r="R833" s="11"/>
      <c r="S833" s="11"/>
      <c r="T833" s="11"/>
      <c r="U833" s="32" t="str">
        <f aca="false">IF((LEN(A833)+LEN(B833)+LEN(C833)+LEN(D833)+LEN(E833)+LEN(F833)+LEN(G833)+LEN(H833)+LEN(I833)+LEN(J833)+LEN(K833)+LEN(M833)+LEN(N833)+LEN(O833)+LEN(P833)+LEN(Q833)+LEN(R833)+LEN(S833)+LEN(T833))=0,"",IF(OR(A833="",B833="",C833="",D833="",E833="",J833="",K833="",N833=""),"⚠ Champ obligatoire manquant",IF(AND(ISNUMBER(K833),ISNUMBER(J833),N(K833)&gt;N(J833)),"⚠ Prix Autopiec &gt; prix public",IF(COUNTIFS($A$2:$A$1001,A833,$B$2:$B$1001,B833)&gt;1,"⚠ Référence en double","✔ OK"))))</f>
        <v/>
      </c>
    </row>
    <row r="834" customFormat="false" ht="15" hidden="false" customHeight="false" outlineLevel="0" collapsed="false">
      <c r="A834" s="11"/>
      <c r="B834" s="27"/>
      <c r="C834" s="11"/>
      <c r="D834" s="11"/>
      <c r="E834" s="11"/>
      <c r="F834" s="27"/>
      <c r="G834" s="27"/>
      <c r="H834" s="11"/>
      <c r="I834" s="11"/>
      <c r="J834" s="12"/>
      <c r="K834" s="12"/>
      <c r="L834" s="28" t="str">
        <f aca="false">IF(AND(ISNUMBER(J834),ISNUMBER(K834),N(J834)&gt;0),1-K834/J834,"")</f>
        <v/>
      </c>
      <c r="M834" s="29"/>
      <c r="N834" s="30"/>
      <c r="O834" s="30"/>
      <c r="P834" s="11"/>
      <c r="Q834" s="31"/>
      <c r="R834" s="11"/>
      <c r="S834" s="11"/>
      <c r="T834" s="11"/>
      <c r="U834" s="32" t="str">
        <f aca="false">IF((LEN(A834)+LEN(B834)+LEN(C834)+LEN(D834)+LEN(E834)+LEN(F834)+LEN(G834)+LEN(H834)+LEN(I834)+LEN(J834)+LEN(K834)+LEN(M834)+LEN(N834)+LEN(O834)+LEN(P834)+LEN(Q834)+LEN(R834)+LEN(S834)+LEN(T834))=0,"",IF(OR(A834="",B834="",C834="",D834="",E834="",J834="",K834="",N834=""),"⚠ Champ obligatoire manquant",IF(AND(ISNUMBER(K834),ISNUMBER(J834),N(K834)&gt;N(J834)),"⚠ Prix Autopiec &gt; prix public",IF(COUNTIFS($A$2:$A$1001,A834,$B$2:$B$1001,B834)&gt;1,"⚠ Référence en double","✔ OK"))))</f>
        <v/>
      </c>
    </row>
    <row r="835" customFormat="false" ht="15" hidden="false" customHeight="false" outlineLevel="0" collapsed="false">
      <c r="A835" s="11"/>
      <c r="B835" s="27"/>
      <c r="C835" s="11"/>
      <c r="D835" s="11"/>
      <c r="E835" s="11"/>
      <c r="F835" s="27"/>
      <c r="G835" s="27"/>
      <c r="H835" s="11"/>
      <c r="I835" s="11"/>
      <c r="J835" s="12"/>
      <c r="K835" s="12"/>
      <c r="L835" s="28" t="str">
        <f aca="false">IF(AND(ISNUMBER(J835),ISNUMBER(K835),N(J835)&gt;0),1-K835/J835,"")</f>
        <v/>
      </c>
      <c r="M835" s="29"/>
      <c r="N835" s="30"/>
      <c r="O835" s="30"/>
      <c r="P835" s="11"/>
      <c r="Q835" s="31"/>
      <c r="R835" s="11"/>
      <c r="S835" s="11"/>
      <c r="T835" s="11"/>
      <c r="U835" s="32" t="str">
        <f aca="false">IF((LEN(A835)+LEN(B835)+LEN(C835)+LEN(D835)+LEN(E835)+LEN(F835)+LEN(G835)+LEN(H835)+LEN(I835)+LEN(J835)+LEN(K835)+LEN(M835)+LEN(N835)+LEN(O835)+LEN(P835)+LEN(Q835)+LEN(R835)+LEN(S835)+LEN(T835))=0,"",IF(OR(A835="",B835="",C835="",D835="",E835="",J835="",K835="",N835=""),"⚠ Champ obligatoire manquant",IF(AND(ISNUMBER(K835),ISNUMBER(J835),N(K835)&gt;N(J835)),"⚠ Prix Autopiec &gt; prix public",IF(COUNTIFS($A$2:$A$1001,A835,$B$2:$B$1001,B835)&gt;1,"⚠ Référence en double","✔ OK"))))</f>
        <v/>
      </c>
    </row>
    <row r="836" customFormat="false" ht="15" hidden="false" customHeight="false" outlineLevel="0" collapsed="false">
      <c r="A836" s="11"/>
      <c r="B836" s="27"/>
      <c r="C836" s="11"/>
      <c r="D836" s="11"/>
      <c r="E836" s="11"/>
      <c r="F836" s="27"/>
      <c r="G836" s="27"/>
      <c r="H836" s="11"/>
      <c r="I836" s="11"/>
      <c r="J836" s="12"/>
      <c r="K836" s="12"/>
      <c r="L836" s="28" t="str">
        <f aca="false">IF(AND(ISNUMBER(J836),ISNUMBER(K836),N(J836)&gt;0),1-K836/J836,"")</f>
        <v/>
      </c>
      <c r="M836" s="29"/>
      <c r="N836" s="30"/>
      <c r="O836" s="30"/>
      <c r="P836" s="11"/>
      <c r="Q836" s="31"/>
      <c r="R836" s="11"/>
      <c r="S836" s="11"/>
      <c r="T836" s="11"/>
      <c r="U836" s="32" t="str">
        <f aca="false">IF((LEN(A836)+LEN(B836)+LEN(C836)+LEN(D836)+LEN(E836)+LEN(F836)+LEN(G836)+LEN(H836)+LEN(I836)+LEN(J836)+LEN(K836)+LEN(M836)+LEN(N836)+LEN(O836)+LEN(P836)+LEN(Q836)+LEN(R836)+LEN(S836)+LEN(T836))=0,"",IF(OR(A836="",B836="",C836="",D836="",E836="",J836="",K836="",N836=""),"⚠ Champ obligatoire manquant",IF(AND(ISNUMBER(K836),ISNUMBER(J836),N(K836)&gt;N(J836)),"⚠ Prix Autopiec &gt; prix public",IF(COUNTIFS($A$2:$A$1001,A836,$B$2:$B$1001,B836)&gt;1,"⚠ Référence en double","✔ OK"))))</f>
        <v/>
      </c>
    </row>
    <row r="837" customFormat="false" ht="15" hidden="false" customHeight="false" outlineLevel="0" collapsed="false">
      <c r="A837" s="11"/>
      <c r="B837" s="27"/>
      <c r="C837" s="11"/>
      <c r="D837" s="11"/>
      <c r="E837" s="11"/>
      <c r="F837" s="27"/>
      <c r="G837" s="27"/>
      <c r="H837" s="11"/>
      <c r="I837" s="11"/>
      <c r="J837" s="12"/>
      <c r="K837" s="12"/>
      <c r="L837" s="28" t="str">
        <f aca="false">IF(AND(ISNUMBER(J837),ISNUMBER(K837),N(J837)&gt;0),1-K837/J837,"")</f>
        <v/>
      </c>
      <c r="M837" s="29"/>
      <c r="N837" s="30"/>
      <c r="O837" s="30"/>
      <c r="P837" s="11"/>
      <c r="Q837" s="31"/>
      <c r="R837" s="11"/>
      <c r="S837" s="11"/>
      <c r="T837" s="11"/>
      <c r="U837" s="32" t="str">
        <f aca="false">IF((LEN(A837)+LEN(B837)+LEN(C837)+LEN(D837)+LEN(E837)+LEN(F837)+LEN(G837)+LEN(H837)+LEN(I837)+LEN(J837)+LEN(K837)+LEN(M837)+LEN(N837)+LEN(O837)+LEN(P837)+LEN(Q837)+LEN(R837)+LEN(S837)+LEN(T837))=0,"",IF(OR(A837="",B837="",C837="",D837="",E837="",J837="",K837="",N837=""),"⚠ Champ obligatoire manquant",IF(AND(ISNUMBER(K837),ISNUMBER(J837),N(K837)&gt;N(J837)),"⚠ Prix Autopiec &gt; prix public",IF(COUNTIFS($A$2:$A$1001,A837,$B$2:$B$1001,B837)&gt;1,"⚠ Référence en double","✔ OK"))))</f>
        <v/>
      </c>
    </row>
    <row r="838" customFormat="false" ht="15" hidden="false" customHeight="false" outlineLevel="0" collapsed="false">
      <c r="A838" s="11"/>
      <c r="B838" s="27"/>
      <c r="C838" s="11"/>
      <c r="D838" s="11"/>
      <c r="E838" s="11"/>
      <c r="F838" s="27"/>
      <c r="G838" s="27"/>
      <c r="H838" s="11"/>
      <c r="I838" s="11"/>
      <c r="J838" s="12"/>
      <c r="K838" s="12"/>
      <c r="L838" s="28" t="str">
        <f aca="false">IF(AND(ISNUMBER(J838),ISNUMBER(K838),N(J838)&gt;0),1-K838/J838,"")</f>
        <v/>
      </c>
      <c r="M838" s="29"/>
      <c r="N838" s="30"/>
      <c r="O838" s="30"/>
      <c r="P838" s="11"/>
      <c r="Q838" s="31"/>
      <c r="R838" s="11"/>
      <c r="S838" s="11"/>
      <c r="T838" s="11"/>
      <c r="U838" s="32" t="str">
        <f aca="false">IF((LEN(A838)+LEN(B838)+LEN(C838)+LEN(D838)+LEN(E838)+LEN(F838)+LEN(G838)+LEN(H838)+LEN(I838)+LEN(J838)+LEN(K838)+LEN(M838)+LEN(N838)+LEN(O838)+LEN(P838)+LEN(Q838)+LEN(R838)+LEN(S838)+LEN(T838))=0,"",IF(OR(A838="",B838="",C838="",D838="",E838="",J838="",K838="",N838=""),"⚠ Champ obligatoire manquant",IF(AND(ISNUMBER(K838),ISNUMBER(J838),N(K838)&gt;N(J838)),"⚠ Prix Autopiec &gt; prix public",IF(COUNTIFS($A$2:$A$1001,A838,$B$2:$B$1001,B838)&gt;1,"⚠ Référence en double","✔ OK"))))</f>
        <v/>
      </c>
    </row>
    <row r="839" customFormat="false" ht="15" hidden="false" customHeight="false" outlineLevel="0" collapsed="false">
      <c r="A839" s="11"/>
      <c r="B839" s="27"/>
      <c r="C839" s="11"/>
      <c r="D839" s="11"/>
      <c r="E839" s="11"/>
      <c r="F839" s="27"/>
      <c r="G839" s="27"/>
      <c r="H839" s="11"/>
      <c r="I839" s="11"/>
      <c r="J839" s="12"/>
      <c r="K839" s="12"/>
      <c r="L839" s="28" t="str">
        <f aca="false">IF(AND(ISNUMBER(J839),ISNUMBER(K839),N(J839)&gt;0),1-K839/J839,"")</f>
        <v/>
      </c>
      <c r="M839" s="29"/>
      <c r="N839" s="30"/>
      <c r="O839" s="30"/>
      <c r="P839" s="11"/>
      <c r="Q839" s="31"/>
      <c r="R839" s="11"/>
      <c r="S839" s="11"/>
      <c r="T839" s="11"/>
      <c r="U839" s="32" t="str">
        <f aca="false">IF((LEN(A839)+LEN(B839)+LEN(C839)+LEN(D839)+LEN(E839)+LEN(F839)+LEN(G839)+LEN(H839)+LEN(I839)+LEN(J839)+LEN(K839)+LEN(M839)+LEN(N839)+LEN(O839)+LEN(P839)+LEN(Q839)+LEN(R839)+LEN(S839)+LEN(T839))=0,"",IF(OR(A839="",B839="",C839="",D839="",E839="",J839="",K839="",N839=""),"⚠ Champ obligatoire manquant",IF(AND(ISNUMBER(K839),ISNUMBER(J839),N(K839)&gt;N(J839)),"⚠ Prix Autopiec &gt; prix public",IF(COUNTIFS($A$2:$A$1001,A839,$B$2:$B$1001,B839)&gt;1,"⚠ Référence en double","✔ OK"))))</f>
        <v/>
      </c>
    </row>
    <row r="840" customFormat="false" ht="15" hidden="false" customHeight="false" outlineLevel="0" collapsed="false">
      <c r="A840" s="11"/>
      <c r="B840" s="27"/>
      <c r="C840" s="11"/>
      <c r="D840" s="11"/>
      <c r="E840" s="11"/>
      <c r="F840" s="27"/>
      <c r="G840" s="27"/>
      <c r="H840" s="11"/>
      <c r="I840" s="11"/>
      <c r="J840" s="12"/>
      <c r="K840" s="12"/>
      <c r="L840" s="28" t="str">
        <f aca="false">IF(AND(ISNUMBER(J840),ISNUMBER(K840),N(J840)&gt;0),1-K840/J840,"")</f>
        <v/>
      </c>
      <c r="M840" s="29"/>
      <c r="N840" s="30"/>
      <c r="O840" s="30"/>
      <c r="P840" s="11"/>
      <c r="Q840" s="31"/>
      <c r="R840" s="11"/>
      <c r="S840" s="11"/>
      <c r="T840" s="11"/>
      <c r="U840" s="32" t="str">
        <f aca="false">IF((LEN(A840)+LEN(B840)+LEN(C840)+LEN(D840)+LEN(E840)+LEN(F840)+LEN(G840)+LEN(H840)+LEN(I840)+LEN(J840)+LEN(K840)+LEN(M840)+LEN(N840)+LEN(O840)+LEN(P840)+LEN(Q840)+LEN(R840)+LEN(S840)+LEN(T840))=0,"",IF(OR(A840="",B840="",C840="",D840="",E840="",J840="",K840="",N840=""),"⚠ Champ obligatoire manquant",IF(AND(ISNUMBER(K840),ISNUMBER(J840),N(K840)&gt;N(J840)),"⚠ Prix Autopiec &gt; prix public",IF(COUNTIFS($A$2:$A$1001,A840,$B$2:$B$1001,B840)&gt;1,"⚠ Référence en double","✔ OK"))))</f>
        <v/>
      </c>
    </row>
    <row r="841" customFormat="false" ht="15" hidden="false" customHeight="false" outlineLevel="0" collapsed="false">
      <c r="A841" s="11"/>
      <c r="B841" s="27"/>
      <c r="C841" s="11"/>
      <c r="D841" s="11"/>
      <c r="E841" s="11"/>
      <c r="F841" s="27"/>
      <c r="G841" s="27"/>
      <c r="H841" s="11"/>
      <c r="I841" s="11"/>
      <c r="J841" s="12"/>
      <c r="K841" s="12"/>
      <c r="L841" s="28" t="str">
        <f aca="false">IF(AND(ISNUMBER(J841),ISNUMBER(K841),N(J841)&gt;0),1-K841/J841,"")</f>
        <v/>
      </c>
      <c r="M841" s="29"/>
      <c r="N841" s="30"/>
      <c r="O841" s="30"/>
      <c r="P841" s="11"/>
      <c r="Q841" s="31"/>
      <c r="R841" s="11"/>
      <c r="S841" s="11"/>
      <c r="T841" s="11"/>
      <c r="U841" s="32" t="str">
        <f aca="false">IF((LEN(A841)+LEN(B841)+LEN(C841)+LEN(D841)+LEN(E841)+LEN(F841)+LEN(G841)+LEN(H841)+LEN(I841)+LEN(J841)+LEN(K841)+LEN(M841)+LEN(N841)+LEN(O841)+LEN(P841)+LEN(Q841)+LEN(R841)+LEN(S841)+LEN(T841))=0,"",IF(OR(A841="",B841="",C841="",D841="",E841="",J841="",K841="",N841=""),"⚠ Champ obligatoire manquant",IF(AND(ISNUMBER(K841),ISNUMBER(J841),N(K841)&gt;N(J841)),"⚠ Prix Autopiec &gt; prix public",IF(COUNTIFS($A$2:$A$1001,A841,$B$2:$B$1001,B841)&gt;1,"⚠ Référence en double","✔ OK"))))</f>
        <v/>
      </c>
    </row>
    <row r="842" customFormat="false" ht="15" hidden="false" customHeight="false" outlineLevel="0" collapsed="false">
      <c r="A842" s="11"/>
      <c r="B842" s="27"/>
      <c r="C842" s="11"/>
      <c r="D842" s="11"/>
      <c r="E842" s="11"/>
      <c r="F842" s="27"/>
      <c r="G842" s="27"/>
      <c r="H842" s="11"/>
      <c r="I842" s="11"/>
      <c r="J842" s="12"/>
      <c r="K842" s="12"/>
      <c r="L842" s="28" t="str">
        <f aca="false">IF(AND(ISNUMBER(J842),ISNUMBER(K842),N(J842)&gt;0),1-K842/J842,"")</f>
        <v/>
      </c>
      <c r="M842" s="29"/>
      <c r="N842" s="30"/>
      <c r="O842" s="30"/>
      <c r="P842" s="11"/>
      <c r="Q842" s="31"/>
      <c r="R842" s="11"/>
      <c r="S842" s="11"/>
      <c r="T842" s="11"/>
      <c r="U842" s="32" t="str">
        <f aca="false">IF((LEN(A842)+LEN(B842)+LEN(C842)+LEN(D842)+LEN(E842)+LEN(F842)+LEN(G842)+LEN(H842)+LEN(I842)+LEN(J842)+LEN(K842)+LEN(M842)+LEN(N842)+LEN(O842)+LEN(P842)+LEN(Q842)+LEN(R842)+LEN(S842)+LEN(T842))=0,"",IF(OR(A842="",B842="",C842="",D842="",E842="",J842="",K842="",N842=""),"⚠ Champ obligatoire manquant",IF(AND(ISNUMBER(K842),ISNUMBER(J842),N(K842)&gt;N(J842)),"⚠ Prix Autopiec &gt; prix public",IF(COUNTIFS($A$2:$A$1001,A842,$B$2:$B$1001,B842)&gt;1,"⚠ Référence en double","✔ OK"))))</f>
        <v/>
      </c>
    </row>
    <row r="843" customFormat="false" ht="15" hidden="false" customHeight="false" outlineLevel="0" collapsed="false">
      <c r="A843" s="11"/>
      <c r="B843" s="27"/>
      <c r="C843" s="11"/>
      <c r="D843" s="11"/>
      <c r="E843" s="11"/>
      <c r="F843" s="27"/>
      <c r="G843" s="27"/>
      <c r="H843" s="11"/>
      <c r="I843" s="11"/>
      <c r="J843" s="12"/>
      <c r="K843" s="12"/>
      <c r="L843" s="28" t="str">
        <f aca="false">IF(AND(ISNUMBER(J843),ISNUMBER(K843),N(J843)&gt;0),1-K843/J843,"")</f>
        <v/>
      </c>
      <c r="M843" s="29"/>
      <c r="N843" s="30"/>
      <c r="O843" s="30"/>
      <c r="P843" s="11"/>
      <c r="Q843" s="31"/>
      <c r="R843" s="11"/>
      <c r="S843" s="11"/>
      <c r="T843" s="11"/>
      <c r="U843" s="32" t="str">
        <f aca="false">IF((LEN(A843)+LEN(B843)+LEN(C843)+LEN(D843)+LEN(E843)+LEN(F843)+LEN(G843)+LEN(H843)+LEN(I843)+LEN(J843)+LEN(K843)+LEN(M843)+LEN(N843)+LEN(O843)+LEN(P843)+LEN(Q843)+LEN(R843)+LEN(S843)+LEN(T843))=0,"",IF(OR(A843="",B843="",C843="",D843="",E843="",J843="",K843="",N843=""),"⚠ Champ obligatoire manquant",IF(AND(ISNUMBER(K843),ISNUMBER(J843),N(K843)&gt;N(J843)),"⚠ Prix Autopiec &gt; prix public",IF(COUNTIFS($A$2:$A$1001,A843,$B$2:$B$1001,B843)&gt;1,"⚠ Référence en double","✔ OK"))))</f>
        <v/>
      </c>
    </row>
    <row r="844" customFormat="false" ht="15" hidden="false" customHeight="false" outlineLevel="0" collapsed="false">
      <c r="A844" s="11"/>
      <c r="B844" s="27"/>
      <c r="C844" s="11"/>
      <c r="D844" s="11"/>
      <c r="E844" s="11"/>
      <c r="F844" s="27"/>
      <c r="G844" s="27"/>
      <c r="H844" s="11"/>
      <c r="I844" s="11"/>
      <c r="J844" s="12"/>
      <c r="K844" s="12"/>
      <c r="L844" s="28" t="str">
        <f aca="false">IF(AND(ISNUMBER(J844),ISNUMBER(K844),N(J844)&gt;0),1-K844/J844,"")</f>
        <v/>
      </c>
      <c r="M844" s="29"/>
      <c r="N844" s="30"/>
      <c r="O844" s="30"/>
      <c r="P844" s="11"/>
      <c r="Q844" s="31"/>
      <c r="R844" s="11"/>
      <c r="S844" s="11"/>
      <c r="T844" s="11"/>
      <c r="U844" s="32" t="str">
        <f aca="false">IF((LEN(A844)+LEN(B844)+LEN(C844)+LEN(D844)+LEN(E844)+LEN(F844)+LEN(G844)+LEN(H844)+LEN(I844)+LEN(J844)+LEN(K844)+LEN(M844)+LEN(N844)+LEN(O844)+LEN(P844)+LEN(Q844)+LEN(R844)+LEN(S844)+LEN(T844))=0,"",IF(OR(A844="",B844="",C844="",D844="",E844="",J844="",K844="",N844=""),"⚠ Champ obligatoire manquant",IF(AND(ISNUMBER(K844),ISNUMBER(J844),N(K844)&gt;N(J844)),"⚠ Prix Autopiec &gt; prix public",IF(COUNTIFS($A$2:$A$1001,A844,$B$2:$B$1001,B844)&gt;1,"⚠ Référence en double","✔ OK"))))</f>
        <v/>
      </c>
    </row>
    <row r="845" customFormat="false" ht="15" hidden="false" customHeight="false" outlineLevel="0" collapsed="false">
      <c r="A845" s="11"/>
      <c r="B845" s="27"/>
      <c r="C845" s="11"/>
      <c r="D845" s="11"/>
      <c r="E845" s="11"/>
      <c r="F845" s="27"/>
      <c r="G845" s="27"/>
      <c r="H845" s="11"/>
      <c r="I845" s="11"/>
      <c r="J845" s="12"/>
      <c r="K845" s="12"/>
      <c r="L845" s="28" t="str">
        <f aca="false">IF(AND(ISNUMBER(J845),ISNUMBER(K845),N(J845)&gt;0),1-K845/J845,"")</f>
        <v/>
      </c>
      <c r="M845" s="29"/>
      <c r="N845" s="30"/>
      <c r="O845" s="30"/>
      <c r="P845" s="11"/>
      <c r="Q845" s="31"/>
      <c r="R845" s="11"/>
      <c r="S845" s="11"/>
      <c r="T845" s="11"/>
      <c r="U845" s="32" t="str">
        <f aca="false">IF((LEN(A845)+LEN(B845)+LEN(C845)+LEN(D845)+LEN(E845)+LEN(F845)+LEN(G845)+LEN(H845)+LEN(I845)+LEN(J845)+LEN(K845)+LEN(M845)+LEN(N845)+LEN(O845)+LEN(P845)+LEN(Q845)+LEN(R845)+LEN(S845)+LEN(T845))=0,"",IF(OR(A845="",B845="",C845="",D845="",E845="",J845="",K845="",N845=""),"⚠ Champ obligatoire manquant",IF(AND(ISNUMBER(K845),ISNUMBER(J845),N(K845)&gt;N(J845)),"⚠ Prix Autopiec &gt; prix public",IF(COUNTIFS($A$2:$A$1001,A845,$B$2:$B$1001,B845)&gt;1,"⚠ Référence en double","✔ OK"))))</f>
        <v/>
      </c>
    </row>
    <row r="846" customFormat="false" ht="15" hidden="false" customHeight="false" outlineLevel="0" collapsed="false">
      <c r="A846" s="11"/>
      <c r="B846" s="27"/>
      <c r="C846" s="11"/>
      <c r="D846" s="11"/>
      <c r="E846" s="11"/>
      <c r="F846" s="27"/>
      <c r="G846" s="27"/>
      <c r="H846" s="11"/>
      <c r="I846" s="11"/>
      <c r="J846" s="12"/>
      <c r="K846" s="12"/>
      <c r="L846" s="28" t="str">
        <f aca="false">IF(AND(ISNUMBER(J846),ISNUMBER(K846),N(J846)&gt;0),1-K846/J846,"")</f>
        <v/>
      </c>
      <c r="M846" s="29"/>
      <c r="N846" s="30"/>
      <c r="O846" s="30"/>
      <c r="P846" s="11"/>
      <c r="Q846" s="31"/>
      <c r="R846" s="11"/>
      <c r="S846" s="11"/>
      <c r="T846" s="11"/>
      <c r="U846" s="32" t="str">
        <f aca="false">IF((LEN(A846)+LEN(B846)+LEN(C846)+LEN(D846)+LEN(E846)+LEN(F846)+LEN(G846)+LEN(H846)+LEN(I846)+LEN(J846)+LEN(K846)+LEN(M846)+LEN(N846)+LEN(O846)+LEN(P846)+LEN(Q846)+LEN(R846)+LEN(S846)+LEN(T846))=0,"",IF(OR(A846="",B846="",C846="",D846="",E846="",J846="",K846="",N846=""),"⚠ Champ obligatoire manquant",IF(AND(ISNUMBER(K846),ISNUMBER(J846),N(K846)&gt;N(J846)),"⚠ Prix Autopiec &gt; prix public",IF(COUNTIFS($A$2:$A$1001,A846,$B$2:$B$1001,B846)&gt;1,"⚠ Référence en double","✔ OK"))))</f>
        <v/>
      </c>
    </row>
    <row r="847" customFormat="false" ht="15" hidden="false" customHeight="false" outlineLevel="0" collapsed="false">
      <c r="A847" s="11"/>
      <c r="B847" s="27"/>
      <c r="C847" s="11"/>
      <c r="D847" s="11"/>
      <c r="E847" s="11"/>
      <c r="F847" s="27"/>
      <c r="G847" s="27"/>
      <c r="H847" s="11"/>
      <c r="I847" s="11"/>
      <c r="J847" s="12"/>
      <c r="K847" s="12"/>
      <c r="L847" s="28" t="str">
        <f aca="false">IF(AND(ISNUMBER(J847),ISNUMBER(K847),N(J847)&gt;0),1-K847/J847,"")</f>
        <v/>
      </c>
      <c r="M847" s="29"/>
      <c r="N847" s="30"/>
      <c r="O847" s="30"/>
      <c r="P847" s="11"/>
      <c r="Q847" s="31"/>
      <c r="R847" s="11"/>
      <c r="S847" s="11"/>
      <c r="T847" s="11"/>
      <c r="U847" s="32" t="str">
        <f aca="false">IF((LEN(A847)+LEN(B847)+LEN(C847)+LEN(D847)+LEN(E847)+LEN(F847)+LEN(G847)+LEN(H847)+LEN(I847)+LEN(J847)+LEN(K847)+LEN(M847)+LEN(N847)+LEN(O847)+LEN(P847)+LEN(Q847)+LEN(R847)+LEN(S847)+LEN(T847))=0,"",IF(OR(A847="",B847="",C847="",D847="",E847="",J847="",K847="",N847=""),"⚠ Champ obligatoire manquant",IF(AND(ISNUMBER(K847),ISNUMBER(J847),N(K847)&gt;N(J847)),"⚠ Prix Autopiec &gt; prix public",IF(COUNTIFS($A$2:$A$1001,A847,$B$2:$B$1001,B847)&gt;1,"⚠ Référence en double","✔ OK"))))</f>
        <v/>
      </c>
    </row>
    <row r="848" customFormat="false" ht="15" hidden="false" customHeight="false" outlineLevel="0" collapsed="false">
      <c r="A848" s="11"/>
      <c r="B848" s="27"/>
      <c r="C848" s="11"/>
      <c r="D848" s="11"/>
      <c r="E848" s="11"/>
      <c r="F848" s="27"/>
      <c r="G848" s="27"/>
      <c r="H848" s="11"/>
      <c r="I848" s="11"/>
      <c r="J848" s="12"/>
      <c r="K848" s="12"/>
      <c r="L848" s="28" t="str">
        <f aca="false">IF(AND(ISNUMBER(J848),ISNUMBER(K848),N(J848)&gt;0),1-K848/J848,"")</f>
        <v/>
      </c>
      <c r="M848" s="29"/>
      <c r="N848" s="30"/>
      <c r="O848" s="30"/>
      <c r="P848" s="11"/>
      <c r="Q848" s="31"/>
      <c r="R848" s="11"/>
      <c r="S848" s="11"/>
      <c r="T848" s="11"/>
      <c r="U848" s="32" t="str">
        <f aca="false">IF((LEN(A848)+LEN(B848)+LEN(C848)+LEN(D848)+LEN(E848)+LEN(F848)+LEN(G848)+LEN(H848)+LEN(I848)+LEN(J848)+LEN(K848)+LEN(M848)+LEN(N848)+LEN(O848)+LEN(P848)+LEN(Q848)+LEN(R848)+LEN(S848)+LEN(T848))=0,"",IF(OR(A848="",B848="",C848="",D848="",E848="",J848="",K848="",N848=""),"⚠ Champ obligatoire manquant",IF(AND(ISNUMBER(K848),ISNUMBER(J848),N(K848)&gt;N(J848)),"⚠ Prix Autopiec &gt; prix public",IF(COUNTIFS($A$2:$A$1001,A848,$B$2:$B$1001,B848)&gt;1,"⚠ Référence en double","✔ OK"))))</f>
        <v/>
      </c>
    </row>
    <row r="849" customFormat="false" ht="15" hidden="false" customHeight="false" outlineLevel="0" collapsed="false">
      <c r="A849" s="11"/>
      <c r="B849" s="27"/>
      <c r="C849" s="11"/>
      <c r="D849" s="11"/>
      <c r="E849" s="11"/>
      <c r="F849" s="27"/>
      <c r="G849" s="27"/>
      <c r="H849" s="11"/>
      <c r="I849" s="11"/>
      <c r="J849" s="12"/>
      <c r="K849" s="12"/>
      <c r="L849" s="28" t="str">
        <f aca="false">IF(AND(ISNUMBER(J849),ISNUMBER(K849),N(J849)&gt;0),1-K849/J849,"")</f>
        <v/>
      </c>
      <c r="M849" s="29"/>
      <c r="N849" s="30"/>
      <c r="O849" s="30"/>
      <c r="P849" s="11"/>
      <c r="Q849" s="31"/>
      <c r="R849" s="11"/>
      <c r="S849" s="11"/>
      <c r="T849" s="11"/>
      <c r="U849" s="32" t="str">
        <f aca="false">IF((LEN(A849)+LEN(B849)+LEN(C849)+LEN(D849)+LEN(E849)+LEN(F849)+LEN(G849)+LEN(H849)+LEN(I849)+LEN(J849)+LEN(K849)+LEN(M849)+LEN(N849)+LEN(O849)+LEN(P849)+LEN(Q849)+LEN(R849)+LEN(S849)+LEN(T849))=0,"",IF(OR(A849="",B849="",C849="",D849="",E849="",J849="",K849="",N849=""),"⚠ Champ obligatoire manquant",IF(AND(ISNUMBER(K849),ISNUMBER(J849),N(K849)&gt;N(J849)),"⚠ Prix Autopiec &gt; prix public",IF(COUNTIFS($A$2:$A$1001,A849,$B$2:$B$1001,B849)&gt;1,"⚠ Référence en double","✔ OK"))))</f>
        <v/>
      </c>
    </row>
    <row r="850" customFormat="false" ht="15" hidden="false" customHeight="false" outlineLevel="0" collapsed="false">
      <c r="A850" s="11"/>
      <c r="B850" s="27"/>
      <c r="C850" s="11"/>
      <c r="D850" s="11"/>
      <c r="E850" s="11"/>
      <c r="F850" s="27"/>
      <c r="G850" s="27"/>
      <c r="H850" s="11"/>
      <c r="I850" s="11"/>
      <c r="J850" s="12"/>
      <c r="K850" s="12"/>
      <c r="L850" s="28" t="str">
        <f aca="false">IF(AND(ISNUMBER(J850),ISNUMBER(K850),N(J850)&gt;0),1-K850/J850,"")</f>
        <v/>
      </c>
      <c r="M850" s="29"/>
      <c r="N850" s="30"/>
      <c r="O850" s="30"/>
      <c r="P850" s="11"/>
      <c r="Q850" s="31"/>
      <c r="R850" s="11"/>
      <c r="S850" s="11"/>
      <c r="T850" s="11"/>
      <c r="U850" s="32" t="str">
        <f aca="false">IF((LEN(A850)+LEN(B850)+LEN(C850)+LEN(D850)+LEN(E850)+LEN(F850)+LEN(G850)+LEN(H850)+LEN(I850)+LEN(J850)+LEN(K850)+LEN(M850)+LEN(N850)+LEN(O850)+LEN(P850)+LEN(Q850)+LEN(R850)+LEN(S850)+LEN(T850))=0,"",IF(OR(A850="",B850="",C850="",D850="",E850="",J850="",K850="",N850=""),"⚠ Champ obligatoire manquant",IF(AND(ISNUMBER(K850),ISNUMBER(J850),N(K850)&gt;N(J850)),"⚠ Prix Autopiec &gt; prix public",IF(COUNTIFS($A$2:$A$1001,A850,$B$2:$B$1001,B850)&gt;1,"⚠ Référence en double","✔ OK"))))</f>
        <v/>
      </c>
    </row>
    <row r="851" customFormat="false" ht="15" hidden="false" customHeight="false" outlineLevel="0" collapsed="false">
      <c r="A851" s="11"/>
      <c r="B851" s="27"/>
      <c r="C851" s="11"/>
      <c r="D851" s="11"/>
      <c r="E851" s="11"/>
      <c r="F851" s="27"/>
      <c r="G851" s="27"/>
      <c r="H851" s="11"/>
      <c r="I851" s="11"/>
      <c r="J851" s="12"/>
      <c r="K851" s="12"/>
      <c r="L851" s="28" t="str">
        <f aca="false">IF(AND(ISNUMBER(J851),ISNUMBER(K851),N(J851)&gt;0),1-K851/J851,"")</f>
        <v/>
      </c>
      <c r="M851" s="29"/>
      <c r="N851" s="30"/>
      <c r="O851" s="30"/>
      <c r="P851" s="11"/>
      <c r="Q851" s="31"/>
      <c r="R851" s="11"/>
      <c r="S851" s="11"/>
      <c r="T851" s="11"/>
      <c r="U851" s="32" t="str">
        <f aca="false">IF((LEN(A851)+LEN(B851)+LEN(C851)+LEN(D851)+LEN(E851)+LEN(F851)+LEN(G851)+LEN(H851)+LEN(I851)+LEN(J851)+LEN(K851)+LEN(M851)+LEN(N851)+LEN(O851)+LEN(P851)+LEN(Q851)+LEN(R851)+LEN(S851)+LEN(T851))=0,"",IF(OR(A851="",B851="",C851="",D851="",E851="",J851="",K851="",N851=""),"⚠ Champ obligatoire manquant",IF(AND(ISNUMBER(K851),ISNUMBER(J851),N(K851)&gt;N(J851)),"⚠ Prix Autopiec &gt; prix public",IF(COUNTIFS($A$2:$A$1001,A851,$B$2:$B$1001,B851)&gt;1,"⚠ Référence en double","✔ OK"))))</f>
        <v/>
      </c>
    </row>
    <row r="852" customFormat="false" ht="15" hidden="false" customHeight="false" outlineLevel="0" collapsed="false">
      <c r="A852" s="11"/>
      <c r="B852" s="27"/>
      <c r="C852" s="11"/>
      <c r="D852" s="11"/>
      <c r="E852" s="11"/>
      <c r="F852" s="27"/>
      <c r="G852" s="27"/>
      <c r="H852" s="11"/>
      <c r="I852" s="11"/>
      <c r="J852" s="12"/>
      <c r="K852" s="12"/>
      <c r="L852" s="28" t="str">
        <f aca="false">IF(AND(ISNUMBER(J852),ISNUMBER(K852),N(J852)&gt;0),1-K852/J852,"")</f>
        <v/>
      </c>
      <c r="M852" s="29"/>
      <c r="N852" s="30"/>
      <c r="O852" s="30"/>
      <c r="P852" s="11"/>
      <c r="Q852" s="31"/>
      <c r="R852" s="11"/>
      <c r="S852" s="11"/>
      <c r="T852" s="11"/>
      <c r="U852" s="32" t="str">
        <f aca="false">IF((LEN(A852)+LEN(B852)+LEN(C852)+LEN(D852)+LEN(E852)+LEN(F852)+LEN(G852)+LEN(H852)+LEN(I852)+LEN(J852)+LEN(K852)+LEN(M852)+LEN(N852)+LEN(O852)+LEN(P852)+LEN(Q852)+LEN(R852)+LEN(S852)+LEN(T852))=0,"",IF(OR(A852="",B852="",C852="",D852="",E852="",J852="",K852="",N852=""),"⚠ Champ obligatoire manquant",IF(AND(ISNUMBER(K852),ISNUMBER(J852),N(K852)&gt;N(J852)),"⚠ Prix Autopiec &gt; prix public",IF(COUNTIFS($A$2:$A$1001,A852,$B$2:$B$1001,B852)&gt;1,"⚠ Référence en double","✔ OK"))))</f>
        <v/>
      </c>
    </row>
    <row r="853" customFormat="false" ht="15" hidden="false" customHeight="false" outlineLevel="0" collapsed="false">
      <c r="A853" s="11"/>
      <c r="B853" s="27"/>
      <c r="C853" s="11"/>
      <c r="D853" s="11"/>
      <c r="E853" s="11"/>
      <c r="F853" s="27"/>
      <c r="G853" s="27"/>
      <c r="H853" s="11"/>
      <c r="I853" s="11"/>
      <c r="J853" s="12"/>
      <c r="K853" s="12"/>
      <c r="L853" s="28" t="str">
        <f aca="false">IF(AND(ISNUMBER(J853),ISNUMBER(K853),N(J853)&gt;0),1-K853/J853,"")</f>
        <v/>
      </c>
      <c r="M853" s="29"/>
      <c r="N853" s="30"/>
      <c r="O853" s="30"/>
      <c r="P853" s="11"/>
      <c r="Q853" s="31"/>
      <c r="R853" s="11"/>
      <c r="S853" s="11"/>
      <c r="T853" s="11"/>
      <c r="U853" s="32" t="str">
        <f aca="false">IF((LEN(A853)+LEN(B853)+LEN(C853)+LEN(D853)+LEN(E853)+LEN(F853)+LEN(G853)+LEN(H853)+LEN(I853)+LEN(J853)+LEN(K853)+LEN(M853)+LEN(N853)+LEN(O853)+LEN(P853)+LEN(Q853)+LEN(R853)+LEN(S853)+LEN(T853))=0,"",IF(OR(A853="",B853="",C853="",D853="",E853="",J853="",K853="",N853=""),"⚠ Champ obligatoire manquant",IF(AND(ISNUMBER(K853),ISNUMBER(J853),N(K853)&gt;N(J853)),"⚠ Prix Autopiec &gt; prix public",IF(COUNTIFS($A$2:$A$1001,A853,$B$2:$B$1001,B853)&gt;1,"⚠ Référence en double","✔ OK"))))</f>
        <v/>
      </c>
    </row>
    <row r="854" customFormat="false" ht="15" hidden="false" customHeight="false" outlineLevel="0" collapsed="false">
      <c r="A854" s="11"/>
      <c r="B854" s="27"/>
      <c r="C854" s="11"/>
      <c r="D854" s="11"/>
      <c r="E854" s="11"/>
      <c r="F854" s="27"/>
      <c r="G854" s="27"/>
      <c r="H854" s="11"/>
      <c r="I854" s="11"/>
      <c r="J854" s="12"/>
      <c r="K854" s="12"/>
      <c r="L854" s="28" t="str">
        <f aca="false">IF(AND(ISNUMBER(J854),ISNUMBER(K854),N(J854)&gt;0),1-K854/J854,"")</f>
        <v/>
      </c>
      <c r="M854" s="29"/>
      <c r="N854" s="30"/>
      <c r="O854" s="30"/>
      <c r="P854" s="11"/>
      <c r="Q854" s="31"/>
      <c r="R854" s="11"/>
      <c r="S854" s="11"/>
      <c r="T854" s="11"/>
      <c r="U854" s="32" t="str">
        <f aca="false">IF((LEN(A854)+LEN(B854)+LEN(C854)+LEN(D854)+LEN(E854)+LEN(F854)+LEN(G854)+LEN(H854)+LEN(I854)+LEN(J854)+LEN(K854)+LEN(M854)+LEN(N854)+LEN(O854)+LEN(P854)+LEN(Q854)+LEN(R854)+LEN(S854)+LEN(T854))=0,"",IF(OR(A854="",B854="",C854="",D854="",E854="",J854="",K854="",N854=""),"⚠ Champ obligatoire manquant",IF(AND(ISNUMBER(K854),ISNUMBER(J854),N(K854)&gt;N(J854)),"⚠ Prix Autopiec &gt; prix public",IF(COUNTIFS($A$2:$A$1001,A854,$B$2:$B$1001,B854)&gt;1,"⚠ Référence en double","✔ OK"))))</f>
        <v/>
      </c>
    </row>
    <row r="855" customFormat="false" ht="15" hidden="false" customHeight="false" outlineLevel="0" collapsed="false">
      <c r="A855" s="11"/>
      <c r="B855" s="27"/>
      <c r="C855" s="11"/>
      <c r="D855" s="11"/>
      <c r="E855" s="11"/>
      <c r="F855" s="27"/>
      <c r="G855" s="27"/>
      <c r="H855" s="11"/>
      <c r="I855" s="11"/>
      <c r="J855" s="12"/>
      <c r="K855" s="12"/>
      <c r="L855" s="28" t="str">
        <f aca="false">IF(AND(ISNUMBER(J855),ISNUMBER(K855),N(J855)&gt;0),1-K855/J855,"")</f>
        <v/>
      </c>
      <c r="M855" s="29"/>
      <c r="N855" s="30"/>
      <c r="O855" s="30"/>
      <c r="P855" s="11"/>
      <c r="Q855" s="31"/>
      <c r="R855" s="11"/>
      <c r="S855" s="11"/>
      <c r="T855" s="11"/>
      <c r="U855" s="32" t="str">
        <f aca="false">IF((LEN(A855)+LEN(B855)+LEN(C855)+LEN(D855)+LEN(E855)+LEN(F855)+LEN(G855)+LEN(H855)+LEN(I855)+LEN(J855)+LEN(K855)+LEN(M855)+LEN(N855)+LEN(O855)+LEN(P855)+LEN(Q855)+LEN(R855)+LEN(S855)+LEN(T855))=0,"",IF(OR(A855="",B855="",C855="",D855="",E855="",J855="",K855="",N855=""),"⚠ Champ obligatoire manquant",IF(AND(ISNUMBER(K855),ISNUMBER(J855),N(K855)&gt;N(J855)),"⚠ Prix Autopiec &gt; prix public",IF(COUNTIFS($A$2:$A$1001,A855,$B$2:$B$1001,B855)&gt;1,"⚠ Référence en double","✔ OK"))))</f>
        <v/>
      </c>
    </row>
    <row r="856" customFormat="false" ht="15" hidden="false" customHeight="false" outlineLevel="0" collapsed="false">
      <c r="A856" s="11"/>
      <c r="B856" s="27"/>
      <c r="C856" s="11"/>
      <c r="D856" s="11"/>
      <c r="E856" s="11"/>
      <c r="F856" s="27"/>
      <c r="G856" s="27"/>
      <c r="H856" s="11"/>
      <c r="I856" s="11"/>
      <c r="J856" s="12"/>
      <c r="K856" s="12"/>
      <c r="L856" s="28" t="str">
        <f aca="false">IF(AND(ISNUMBER(J856),ISNUMBER(K856),N(J856)&gt;0),1-K856/J856,"")</f>
        <v/>
      </c>
      <c r="M856" s="29"/>
      <c r="N856" s="30"/>
      <c r="O856" s="30"/>
      <c r="P856" s="11"/>
      <c r="Q856" s="31"/>
      <c r="R856" s="11"/>
      <c r="S856" s="11"/>
      <c r="T856" s="11"/>
      <c r="U856" s="32" t="str">
        <f aca="false">IF((LEN(A856)+LEN(B856)+LEN(C856)+LEN(D856)+LEN(E856)+LEN(F856)+LEN(G856)+LEN(H856)+LEN(I856)+LEN(J856)+LEN(K856)+LEN(M856)+LEN(N856)+LEN(O856)+LEN(P856)+LEN(Q856)+LEN(R856)+LEN(S856)+LEN(T856))=0,"",IF(OR(A856="",B856="",C856="",D856="",E856="",J856="",K856="",N856=""),"⚠ Champ obligatoire manquant",IF(AND(ISNUMBER(K856),ISNUMBER(J856),N(K856)&gt;N(J856)),"⚠ Prix Autopiec &gt; prix public",IF(COUNTIFS($A$2:$A$1001,A856,$B$2:$B$1001,B856)&gt;1,"⚠ Référence en double","✔ OK"))))</f>
        <v/>
      </c>
    </row>
    <row r="857" customFormat="false" ht="15" hidden="false" customHeight="false" outlineLevel="0" collapsed="false">
      <c r="A857" s="11"/>
      <c r="B857" s="27"/>
      <c r="C857" s="11"/>
      <c r="D857" s="11"/>
      <c r="E857" s="11"/>
      <c r="F857" s="27"/>
      <c r="G857" s="27"/>
      <c r="H857" s="11"/>
      <c r="I857" s="11"/>
      <c r="J857" s="12"/>
      <c r="K857" s="12"/>
      <c r="L857" s="28" t="str">
        <f aca="false">IF(AND(ISNUMBER(J857),ISNUMBER(K857),N(J857)&gt;0),1-K857/J857,"")</f>
        <v/>
      </c>
      <c r="M857" s="29"/>
      <c r="N857" s="30"/>
      <c r="O857" s="30"/>
      <c r="P857" s="11"/>
      <c r="Q857" s="31"/>
      <c r="R857" s="11"/>
      <c r="S857" s="11"/>
      <c r="T857" s="11"/>
      <c r="U857" s="32" t="str">
        <f aca="false">IF((LEN(A857)+LEN(B857)+LEN(C857)+LEN(D857)+LEN(E857)+LEN(F857)+LEN(G857)+LEN(H857)+LEN(I857)+LEN(J857)+LEN(K857)+LEN(M857)+LEN(N857)+LEN(O857)+LEN(P857)+LEN(Q857)+LEN(R857)+LEN(S857)+LEN(T857))=0,"",IF(OR(A857="",B857="",C857="",D857="",E857="",J857="",K857="",N857=""),"⚠ Champ obligatoire manquant",IF(AND(ISNUMBER(K857),ISNUMBER(J857),N(K857)&gt;N(J857)),"⚠ Prix Autopiec &gt; prix public",IF(COUNTIFS($A$2:$A$1001,A857,$B$2:$B$1001,B857)&gt;1,"⚠ Référence en double","✔ OK"))))</f>
        <v/>
      </c>
    </row>
    <row r="858" customFormat="false" ht="15" hidden="false" customHeight="false" outlineLevel="0" collapsed="false">
      <c r="A858" s="11"/>
      <c r="B858" s="27"/>
      <c r="C858" s="11"/>
      <c r="D858" s="11"/>
      <c r="E858" s="11"/>
      <c r="F858" s="27"/>
      <c r="G858" s="27"/>
      <c r="H858" s="11"/>
      <c r="I858" s="11"/>
      <c r="J858" s="12"/>
      <c r="K858" s="12"/>
      <c r="L858" s="28" t="str">
        <f aca="false">IF(AND(ISNUMBER(J858),ISNUMBER(K858),N(J858)&gt;0),1-K858/J858,"")</f>
        <v/>
      </c>
      <c r="M858" s="29"/>
      <c r="N858" s="30"/>
      <c r="O858" s="30"/>
      <c r="P858" s="11"/>
      <c r="Q858" s="31"/>
      <c r="R858" s="11"/>
      <c r="S858" s="11"/>
      <c r="T858" s="11"/>
      <c r="U858" s="32" t="str">
        <f aca="false">IF((LEN(A858)+LEN(B858)+LEN(C858)+LEN(D858)+LEN(E858)+LEN(F858)+LEN(G858)+LEN(H858)+LEN(I858)+LEN(J858)+LEN(K858)+LEN(M858)+LEN(N858)+LEN(O858)+LEN(P858)+LEN(Q858)+LEN(R858)+LEN(S858)+LEN(T858))=0,"",IF(OR(A858="",B858="",C858="",D858="",E858="",J858="",K858="",N858=""),"⚠ Champ obligatoire manquant",IF(AND(ISNUMBER(K858),ISNUMBER(J858),N(K858)&gt;N(J858)),"⚠ Prix Autopiec &gt; prix public",IF(COUNTIFS($A$2:$A$1001,A858,$B$2:$B$1001,B858)&gt;1,"⚠ Référence en double","✔ OK"))))</f>
        <v/>
      </c>
    </row>
    <row r="859" customFormat="false" ht="15" hidden="false" customHeight="false" outlineLevel="0" collapsed="false">
      <c r="A859" s="11"/>
      <c r="B859" s="27"/>
      <c r="C859" s="11"/>
      <c r="D859" s="11"/>
      <c r="E859" s="11"/>
      <c r="F859" s="27"/>
      <c r="G859" s="27"/>
      <c r="H859" s="11"/>
      <c r="I859" s="11"/>
      <c r="J859" s="12"/>
      <c r="K859" s="12"/>
      <c r="L859" s="28" t="str">
        <f aca="false">IF(AND(ISNUMBER(J859),ISNUMBER(K859),N(J859)&gt;0),1-K859/J859,"")</f>
        <v/>
      </c>
      <c r="M859" s="29"/>
      <c r="N859" s="30"/>
      <c r="O859" s="30"/>
      <c r="P859" s="11"/>
      <c r="Q859" s="31"/>
      <c r="R859" s="11"/>
      <c r="S859" s="11"/>
      <c r="T859" s="11"/>
      <c r="U859" s="32" t="str">
        <f aca="false">IF((LEN(A859)+LEN(B859)+LEN(C859)+LEN(D859)+LEN(E859)+LEN(F859)+LEN(G859)+LEN(H859)+LEN(I859)+LEN(J859)+LEN(K859)+LEN(M859)+LEN(N859)+LEN(O859)+LEN(P859)+LEN(Q859)+LEN(R859)+LEN(S859)+LEN(T859))=0,"",IF(OR(A859="",B859="",C859="",D859="",E859="",J859="",K859="",N859=""),"⚠ Champ obligatoire manquant",IF(AND(ISNUMBER(K859),ISNUMBER(J859),N(K859)&gt;N(J859)),"⚠ Prix Autopiec &gt; prix public",IF(COUNTIFS($A$2:$A$1001,A859,$B$2:$B$1001,B859)&gt;1,"⚠ Référence en double","✔ OK"))))</f>
        <v/>
      </c>
    </row>
    <row r="860" customFormat="false" ht="15" hidden="false" customHeight="false" outlineLevel="0" collapsed="false">
      <c r="A860" s="11"/>
      <c r="B860" s="27"/>
      <c r="C860" s="11"/>
      <c r="D860" s="11"/>
      <c r="E860" s="11"/>
      <c r="F860" s="27"/>
      <c r="G860" s="27"/>
      <c r="H860" s="11"/>
      <c r="I860" s="11"/>
      <c r="J860" s="12"/>
      <c r="K860" s="12"/>
      <c r="L860" s="28" t="str">
        <f aca="false">IF(AND(ISNUMBER(J860),ISNUMBER(K860),N(J860)&gt;0),1-K860/J860,"")</f>
        <v/>
      </c>
      <c r="M860" s="29"/>
      <c r="N860" s="30"/>
      <c r="O860" s="30"/>
      <c r="P860" s="11"/>
      <c r="Q860" s="31"/>
      <c r="R860" s="11"/>
      <c r="S860" s="11"/>
      <c r="T860" s="11"/>
      <c r="U860" s="32" t="str">
        <f aca="false">IF((LEN(A860)+LEN(B860)+LEN(C860)+LEN(D860)+LEN(E860)+LEN(F860)+LEN(G860)+LEN(H860)+LEN(I860)+LEN(J860)+LEN(K860)+LEN(M860)+LEN(N860)+LEN(O860)+LEN(P860)+LEN(Q860)+LEN(R860)+LEN(S860)+LEN(T860))=0,"",IF(OR(A860="",B860="",C860="",D860="",E860="",J860="",K860="",N860=""),"⚠ Champ obligatoire manquant",IF(AND(ISNUMBER(K860),ISNUMBER(J860),N(K860)&gt;N(J860)),"⚠ Prix Autopiec &gt; prix public",IF(COUNTIFS($A$2:$A$1001,A860,$B$2:$B$1001,B860)&gt;1,"⚠ Référence en double","✔ OK"))))</f>
        <v/>
      </c>
    </row>
    <row r="861" customFormat="false" ht="15" hidden="false" customHeight="false" outlineLevel="0" collapsed="false">
      <c r="A861" s="11"/>
      <c r="B861" s="27"/>
      <c r="C861" s="11"/>
      <c r="D861" s="11"/>
      <c r="E861" s="11"/>
      <c r="F861" s="27"/>
      <c r="G861" s="27"/>
      <c r="H861" s="11"/>
      <c r="I861" s="11"/>
      <c r="J861" s="12"/>
      <c r="K861" s="12"/>
      <c r="L861" s="28" t="str">
        <f aca="false">IF(AND(ISNUMBER(J861),ISNUMBER(K861),N(J861)&gt;0),1-K861/J861,"")</f>
        <v/>
      </c>
      <c r="M861" s="29"/>
      <c r="N861" s="30"/>
      <c r="O861" s="30"/>
      <c r="P861" s="11"/>
      <c r="Q861" s="31"/>
      <c r="R861" s="11"/>
      <c r="S861" s="11"/>
      <c r="T861" s="11"/>
      <c r="U861" s="32" t="str">
        <f aca="false">IF((LEN(A861)+LEN(B861)+LEN(C861)+LEN(D861)+LEN(E861)+LEN(F861)+LEN(G861)+LEN(H861)+LEN(I861)+LEN(J861)+LEN(K861)+LEN(M861)+LEN(N861)+LEN(O861)+LEN(P861)+LEN(Q861)+LEN(R861)+LEN(S861)+LEN(T861))=0,"",IF(OR(A861="",B861="",C861="",D861="",E861="",J861="",K861="",N861=""),"⚠ Champ obligatoire manquant",IF(AND(ISNUMBER(K861),ISNUMBER(J861),N(K861)&gt;N(J861)),"⚠ Prix Autopiec &gt; prix public",IF(COUNTIFS($A$2:$A$1001,A861,$B$2:$B$1001,B861)&gt;1,"⚠ Référence en double","✔ OK"))))</f>
        <v/>
      </c>
    </row>
    <row r="862" customFormat="false" ht="15" hidden="false" customHeight="false" outlineLevel="0" collapsed="false">
      <c r="A862" s="11"/>
      <c r="B862" s="27"/>
      <c r="C862" s="11"/>
      <c r="D862" s="11"/>
      <c r="E862" s="11"/>
      <c r="F862" s="27"/>
      <c r="G862" s="27"/>
      <c r="H862" s="11"/>
      <c r="I862" s="11"/>
      <c r="J862" s="12"/>
      <c r="K862" s="12"/>
      <c r="L862" s="28" t="str">
        <f aca="false">IF(AND(ISNUMBER(J862),ISNUMBER(K862),N(J862)&gt;0),1-K862/J862,"")</f>
        <v/>
      </c>
      <c r="M862" s="29"/>
      <c r="N862" s="30"/>
      <c r="O862" s="30"/>
      <c r="P862" s="11"/>
      <c r="Q862" s="31"/>
      <c r="R862" s="11"/>
      <c r="S862" s="11"/>
      <c r="T862" s="11"/>
      <c r="U862" s="32" t="str">
        <f aca="false">IF((LEN(A862)+LEN(B862)+LEN(C862)+LEN(D862)+LEN(E862)+LEN(F862)+LEN(G862)+LEN(H862)+LEN(I862)+LEN(J862)+LEN(K862)+LEN(M862)+LEN(N862)+LEN(O862)+LEN(P862)+LEN(Q862)+LEN(R862)+LEN(S862)+LEN(T862))=0,"",IF(OR(A862="",B862="",C862="",D862="",E862="",J862="",K862="",N862=""),"⚠ Champ obligatoire manquant",IF(AND(ISNUMBER(K862),ISNUMBER(J862),N(K862)&gt;N(J862)),"⚠ Prix Autopiec &gt; prix public",IF(COUNTIFS($A$2:$A$1001,A862,$B$2:$B$1001,B862)&gt;1,"⚠ Référence en double","✔ OK"))))</f>
        <v/>
      </c>
    </row>
    <row r="863" customFormat="false" ht="15" hidden="false" customHeight="false" outlineLevel="0" collapsed="false">
      <c r="A863" s="11"/>
      <c r="B863" s="27"/>
      <c r="C863" s="11"/>
      <c r="D863" s="11"/>
      <c r="E863" s="11"/>
      <c r="F863" s="27"/>
      <c r="G863" s="27"/>
      <c r="H863" s="11"/>
      <c r="I863" s="11"/>
      <c r="J863" s="12"/>
      <c r="K863" s="12"/>
      <c r="L863" s="28" t="str">
        <f aca="false">IF(AND(ISNUMBER(J863),ISNUMBER(K863),N(J863)&gt;0),1-K863/J863,"")</f>
        <v/>
      </c>
      <c r="M863" s="29"/>
      <c r="N863" s="30"/>
      <c r="O863" s="30"/>
      <c r="P863" s="11"/>
      <c r="Q863" s="31"/>
      <c r="R863" s="11"/>
      <c r="S863" s="11"/>
      <c r="T863" s="11"/>
      <c r="U863" s="32" t="str">
        <f aca="false">IF((LEN(A863)+LEN(B863)+LEN(C863)+LEN(D863)+LEN(E863)+LEN(F863)+LEN(G863)+LEN(H863)+LEN(I863)+LEN(J863)+LEN(K863)+LEN(M863)+LEN(N863)+LEN(O863)+LEN(P863)+LEN(Q863)+LEN(R863)+LEN(S863)+LEN(T863))=0,"",IF(OR(A863="",B863="",C863="",D863="",E863="",J863="",K863="",N863=""),"⚠ Champ obligatoire manquant",IF(AND(ISNUMBER(K863),ISNUMBER(J863),N(K863)&gt;N(J863)),"⚠ Prix Autopiec &gt; prix public",IF(COUNTIFS($A$2:$A$1001,A863,$B$2:$B$1001,B863)&gt;1,"⚠ Référence en double","✔ OK"))))</f>
        <v/>
      </c>
    </row>
    <row r="864" customFormat="false" ht="15" hidden="false" customHeight="false" outlineLevel="0" collapsed="false">
      <c r="A864" s="11"/>
      <c r="B864" s="27"/>
      <c r="C864" s="11"/>
      <c r="D864" s="11"/>
      <c r="E864" s="11"/>
      <c r="F864" s="27"/>
      <c r="G864" s="27"/>
      <c r="H864" s="11"/>
      <c r="I864" s="11"/>
      <c r="J864" s="12"/>
      <c r="K864" s="12"/>
      <c r="L864" s="28" t="str">
        <f aca="false">IF(AND(ISNUMBER(J864),ISNUMBER(K864),N(J864)&gt;0),1-K864/J864,"")</f>
        <v/>
      </c>
      <c r="M864" s="29"/>
      <c r="N864" s="30"/>
      <c r="O864" s="30"/>
      <c r="P864" s="11"/>
      <c r="Q864" s="31"/>
      <c r="R864" s="11"/>
      <c r="S864" s="11"/>
      <c r="T864" s="11"/>
      <c r="U864" s="32" t="str">
        <f aca="false">IF((LEN(A864)+LEN(B864)+LEN(C864)+LEN(D864)+LEN(E864)+LEN(F864)+LEN(G864)+LEN(H864)+LEN(I864)+LEN(J864)+LEN(K864)+LEN(M864)+LEN(N864)+LEN(O864)+LEN(P864)+LEN(Q864)+LEN(R864)+LEN(S864)+LEN(T864))=0,"",IF(OR(A864="",B864="",C864="",D864="",E864="",J864="",K864="",N864=""),"⚠ Champ obligatoire manquant",IF(AND(ISNUMBER(K864),ISNUMBER(J864),N(K864)&gt;N(J864)),"⚠ Prix Autopiec &gt; prix public",IF(COUNTIFS($A$2:$A$1001,A864,$B$2:$B$1001,B864)&gt;1,"⚠ Référence en double","✔ OK"))))</f>
        <v/>
      </c>
    </row>
    <row r="865" customFormat="false" ht="15" hidden="false" customHeight="false" outlineLevel="0" collapsed="false">
      <c r="A865" s="11"/>
      <c r="B865" s="27"/>
      <c r="C865" s="11"/>
      <c r="D865" s="11"/>
      <c r="E865" s="11"/>
      <c r="F865" s="27"/>
      <c r="G865" s="27"/>
      <c r="H865" s="11"/>
      <c r="I865" s="11"/>
      <c r="J865" s="12"/>
      <c r="K865" s="12"/>
      <c r="L865" s="28" t="str">
        <f aca="false">IF(AND(ISNUMBER(J865),ISNUMBER(K865),N(J865)&gt;0),1-K865/J865,"")</f>
        <v/>
      </c>
      <c r="M865" s="29"/>
      <c r="N865" s="30"/>
      <c r="O865" s="30"/>
      <c r="P865" s="11"/>
      <c r="Q865" s="31"/>
      <c r="R865" s="11"/>
      <c r="S865" s="11"/>
      <c r="T865" s="11"/>
      <c r="U865" s="32" t="str">
        <f aca="false">IF((LEN(A865)+LEN(B865)+LEN(C865)+LEN(D865)+LEN(E865)+LEN(F865)+LEN(G865)+LEN(H865)+LEN(I865)+LEN(J865)+LEN(K865)+LEN(M865)+LEN(N865)+LEN(O865)+LEN(P865)+LEN(Q865)+LEN(R865)+LEN(S865)+LEN(T865))=0,"",IF(OR(A865="",B865="",C865="",D865="",E865="",J865="",K865="",N865=""),"⚠ Champ obligatoire manquant",IF(AND(ISNUMBER(K865),ISNUMBER(J865),N(K865)&gt;N(J865)),"⚠ Prix Autopiec &gt; prix public",IF(COUNTIFS($A$2:$A$1001,A865,$B$2:$B$1001,B865)&gt;1,"⚠ Référence en double","✔ OK"))))</f>
        <v/>
      </c>
    </row>
    <row r="866" customFormat="false" ht="15" hidden="false" customHeight="false" outlineLevel="0" collapsed="false">
      <c r="A866" s="11"/>
      <c r="B866" s="27"/>
      <c r="C866" s="11"/>
      <c r="D866" s="11"/>
      <c r="E866" s="11"/>
      <c r="F866" s="27"/>
      <c r="G866" s="27"/>
      <c r="H866" s="11"/>
      <c r="I866" s="11"/>
      <c r="J866" s="12"/>
      <c r="K866" s="12"/>
      <c r="L866" s="28" t="str">
        <f aca="false">IF(AND(ISNUMBER(J866),ISNUMBER(K866),N(J866)&gt;0),1-K866/J866,"")</f>
        <v/>
      </c>
      <c r="M866" s="29"/>
      <c r="N866" s="30"/>
      <c r="O866" s="30"/>
      <c r="P866" s="11"/>
      <c r="Q866" s="31"/>
      <c r="R866" s="11"/>
      <c r="S866" s="11"/>
      <c r="T866" s="11"/>
      <c r="U866" s="32" t="str">
        <f aca="false">IF((LEN(A866)+LEN(B866)+LEN(C866)+LEN(D866)+LEN(E866)+LEN(F866)+LEN(G866)+LEN(H866)+LEN(I866)+LEN(J866)+LEN(K866)+LEN(M866)+LEN(N866)+LEN(O866)+LEN(P866)+LEN(Q866)+LEN(R866)+LEN(S866)+LEN(T866))=0,"",IF(OR(A866="",B866="",C866="",D866="",E866="",J866="",K866="",N866=""),"⚠ Champ obligatoire manquant",IF(AND(ISNUMBER(K866),ISNUMBER(J866),N(K866)&gt;N(J866)),"⚠ Prix Autopiec &gt; prix public",IF(COUNTIFS($A$2:$A$1001,A866,$B$2:$B$1001,B866)&gt;1,"⚠ Référence en double","✔ OK"))))</f>
        <v/>
      </c>
    </row>
    <row r="867" customFormat="false" ht="15" hidden="false" customHeight="false" outlineLevel="0" collapsed="false">
      <c r="A867" s="11"/>
      <c r="B867" s="27"/>
      <c r="C867" s="11"/>
      <c r="D867" s="11"/>
      <c r="E867" s="11"/>
      <c r="F867" s="27"/>
      <c r="G867" s="27"/>
      <c r="H867" s="11"/>
      <c r="I867" s="11"/>
      <c r="J867" s="12"/>
      <c r="K867" s="12"/>
      <c r="L867" s="28" t="str">
        <f aca="false">IF(AND(ISNUMBER(J867),ISNUMBER(K867),N(J867)&gt;0),1-K867/J867,"")</f>
        <v/>
      </c>
      <c r="M867" s="29"/>
      <c r="N867" s="30"/>
      <c r="O867" s="30"/>
      <c r="P867" s="11"/>
      <c r="Q867" s="31"/>
      <c r="R867" s="11"/>
      <c r="S867" s="11"/>
      <c r="T867" s="11"/>
      <c r="U867" s="32" t="str">
        <f aca="false">IF((LEN(A867)+LEN(B867)+LEN(C867)+LEN(D867)+LEN(E867)+LEN(F867)+LEN(G867)+LEN(H867)+LEN(I867)+LEN(J867)+LEN(K867)+LEN(M867)+LEN(N867)+LEN(O867)+LEN(P867)+LEN(Q867)+LEN(R867)+LEN(S867)+LEN(T867))=0,"",IF(OR(A867="",B867="",C867="",D867="",E867="",J867="",K867="",N867=""),"⚠ Champ obligatoire manquant",IF(AND(ISNUMBER(K867),ISNUMBER(J867),N(K867)&gt;N(J867)),"⚠ Prix Autopiec &gt; prix public",IF(COUNTIFS($A$2:$A$1001,A867,$B$2:$B$1001,B867)&gt;1,"⚠ Référence en double","✔ OK"))))</f>
        <v/>
      </c>
    </row>
    <row r="868" customFormat="false" ht="15" hidden="false" customHeight="false" outlineLevel="0" collapsed="false">
      <c r="A868" s="11"/>
      <c r="B868" s="27"/>
      <c r="C868" s="11"/>
      <c r="D868" s="11"/>
      <c r="E868" s="11"/>
      <c r="F868" s="27"/>
      <c r="G868" s="27"/>
      <c r="H868" s="11"/>
      <c r="I868" s="11"/>
      <c r="J868" s="12"/>
      <c r="K868" s="12"/>
      <c r="L868" s="28" t="str">
        <f aca="false">IF(AND(ISNUMBER(J868),ISNUMBER(K868),N(J868)&gt;0),1-K868/J868,"")</f>
        <v/>
      </c>
      <c r="M868" s="29"/>
      <c r="N868" s="30"/>
      <c r="O868" s="30"/>
      <c r="P868" s="11"/>
      <c r="Q868" s="31"/>
      <c r="R868" s="11"/>
      <c r="S868" s="11"/>
      <c r="T868" s="11"/>
      <c r="U868" s="32" t="str">
        <f aca="false">IF((LEN(A868)+LEN(B868)+LEN(C868)+LEN(D868)+LEN(E868)+LEN(F868)+LEN(G868)+LEN(H868)+LEN(I868)+LEN(J868)+LEN(K868)+LEN(M868)+LEN(N868)+LEN(O868)+LEN(P868)+LEN(Q868)+LEN(R868)+LEN(S868)+LEN(T868))=0,"",IF(OR(A868="",B868="",C868="",D868="",E868="",J868="",K868="",N868=""),"⚠ Champ obligatoire manquant",IF(AND(ISNUMBER(K868),ISNUMBER(J868),N(K868)&gt;N(J868)),"⚠ Prix Autopiec &gt; prix public",IF(COUNTIFS($A$2:$A$1001,A868,$B$2:$B$1001,B868)&gt;1,"⚠ Référence en double","✔ OK"))))</f>
        <v/>
      </c>
    </row>
    <row r="869" customFormat="false" ht="15" hidden="false" customHeight="false" outlineLevel="0" collapsed="false">
      <c r="A869" s="11"/>
      <c r="B869" s="27"/>
      <c r="C869" s="11"/>
      <c r="D869" s="11"/>
      <c r="E869" s="11"/>
      <c r="F869" s="27"/>
      <c r="G869" s="27"/>
      <c r="H869" s="11"/>
      <c r="I869" s="11"/>
      <c r="J869" s="12"/>
      <c r="K869" s="12"/>
      <c r="L869" s="28" t="str">
        <f aca="false">IF(AND(ISNUMBER(J869),ISNUMBER(K869),N(J869)&gt;0),1-K869/J869,"")</f>
        <v/>
      </c>
      <c r="M869" s="29"/>
      <c r="N869" s="30"/>
      <c r="O869" s="30"/>
      <c r="P869" s="11"/>
      <c r="Q869" s="31"/>
      <c r="R869" s="11"/>
      <c r="S869" s="11"/>
      <c r="T869" s="11"/>
      <c r="U869" s="32" t="str">
        <f aca="false">IF((LEN(A869)+LEN(B869)+LEN(C869)+LEN(D869)+LEN(E869)+LEN(F869)+LEN(G869)+LEN(H869)+LEN(I869)+LEN(J869)+LEN(K869)+LEN(M869)+LEN(N869)+LEN(O869)+LEN(P869)+LEN(Q869)+LEN(R869)+LEN(S869)+LEN(T869))=0,"",IF(OR(A869="",B869="",C869="",D869="",E869="",J869="",K869="",N869=""),"⚠ Champ obligatoire manquant",IF(AND(ISNUMBER(K869),ISNUMBER(J869),N(K869)&gt;N(J869)),"⚠ Prix Autopiec &gt; prix public",IF(COUNTIFS($A$2:$A$1001,A869,$B$2:$B$1001,B869)&gt;1,"⚠ Référence en double","✔ OK"))))</f>
        <v/>
      </c>
    </row>
    <row r="870" customFormat="false" ht="15" hidden="false" customHeight="false" outlineLevel="0" collapsed="false">
      <c r="A870" s="11"/>
      <c r="B870" s="27"/>
      <c r="C870" s="11"/>
      <c r="D870" s="11"/>
      <c r="E870" s="11"/>
      <c r="F870" s="27"/>
      <c r="G870" s="27"/>
      <c r="H870" s="11"/>
      <c r="I870" s="11"/>
      <c r="J870" s="12"/>
      <c r="K870" s="12"/>
      <c r="L870" s="28" t="str">
        <f aca="false">IF(AND(ISNUMBER(J870),ISNUMBER(K870),N(J870)&gt;0),1-K870/J870,"")</f>
        <v/>
      </c>
      <c r="M870" s="29"/>
      <c r="N870" s="30"/>
      <c r="O870" s="30"/>
      <c r="P870" s="11"/>
      <c r="Q870" s="31"/>
      <c r="R870" s="11"/>
      <c r="S870" s="11"/>
      <c r="T870" s="11"/>
      <c r="U870" s="32" t="str">
        <f aca="false">IF((LEN(A870)+LEN(B870)+LEN(C870)+LEN(D870)+LEN(E870)+LEN(F870)+LEN(G870)+LEN(H870)+LEN(I870)+LEN(J870)+LEN(K870)+LEN(M870)+LEN(N870)+LEN(O870)+LEN(P870)+LEN(Q870)+LEN(R870)+LEN(S870)+LEN(T870))=0,"",IF(OR(A870="",B870="",C870="",D870="",E870="",J870="",K870="",N870=""),"⚠ Champ obligatoire manquant",IF(AND(ISNUMBER(K870),ISNUMBER(J870),N(K870)&gt;N(J870)),"⚠ Prix Autopiec &gt; prix public",IF(COUNTIFS($A$2:$A$1001,A870,$B$2:$B$1001,B870)&gt;1,"⚠ Référence en double","✔ OK"))))</f>
        <v/>
      </c>
    </row>
    <row r="871" customFormat="false" ht="15" hidden="false" customHeight="false" outlineLevel="0" collapsed="false">
      <c r="A871" s="11"/>
      <c r="B871" s="27"/>
      <c r="C871" s="11"/>
      <c r="D871" s="11"/>
      <c r="E871" s="11"/>
      <c r="F871" s="27"/>
      <c r="G871" s="27"/>
      <c r="H871" s="11"/>
      <c r="I871" s="11"/>
      <c r="J871" s="12"/>
      <c r="K871" s="12"/>
      <c r="L871" s="28" t="str">
        <f aca="false">IF(AND(ISNUMBER(J871),ISNUMBER(K871),N(J871)&gt;0),1-K871/J871,"")</f>
        <v/>
      </c>
      <c r="M871" s="29"/>
      <c r="N871" s="30"/>
      <c r="O871" s="30"/>
      <c r="P871" s="11"/>
      <c r="Q871" s="31"/>
      <c r="R871" s="11"/>
      <c r="S871" s="11"/>
      <c r="T871" s="11"/>
      <c r="U871" s="32" t="str">
        <f aca="false">IF((LEN(A871)+LEN(B871)+LEN(C871)+LEN(D871)+LEN(E871)+LEN(F871)+LEN(G871)+LEN(H871)+LEN(I871)+LEN(J871)+LEN(K871)+LEN(M871)+LEN(N871)+LEN(O871)+LEN(P871)+LEN(Q871)+LEN(R871)+LEN(S871)+LEN(T871))=0,"",IF(OR(A871="",B871="",C871="",D871="",E871="",J871="",K871="",N871=""),"⚠ Champ obligatoire manquant",IF(AND(ISNUMBER(K871),ISNUMBER(J871),N(K871)&gt;N(J871)),"⚠ Prix Autopiec &gt; prix public",IF(COUNTIFS($A$2:$A$1001,A871,$B$2:$B$1001,B871)&gt;1,"⚠ Référence en double","✔ OK"))))</f>
        <v/>
      </c>
    </row>
    <row r="872" customFormat="false" ht="15" hidden="false" customHeight="false" outlineLevel="0" collapsed="false">
      <c r="A872" s="11"/>
      <c r="B872" s="27"/>
      <c r="C872" s="11"/>
      <c r="D872" s="11"/>
      <c r="E872" s="11"/>
      <c r="F872" s="27"/>
      <c r="G872" s="27"/>
      <c r="H872" s="11"/>
      <c r="I872" s="11"/>
      <c r="J872" s="12"/>
      <c r="K872" s="12"/>
      <c r="L872" s="28" t="str">
        <f aca="false">IF(AND(ISNUMBER(J872),ISNUMBER(K872),N(J872)&gt;0),1-K872/J872,"")</f>
        <v/>
      </c>
      <c r="M872" s="29"/>
      <c r="N872" s="30"/>
      <c r="O872" s="30"/>
      <c r="P872" s="11"/>
      <c r="Q872" s="31"/>
      <c r="R872" s="11"/>
      <c r="S872" s="11"/>
      <c r="T872" s="11"/>
      <c r="U872" s="32" t="str">
        <f aca="false">IF((LEN(A872)+LEN(B872)+LEN(C872)+LEN(D872)+LEN(E872)+LEN(F872)+LEN(G872)+LEN(H872)+LEN(I872)+LEN(J872)+LEN(K872)+LEN(M872)+LEN(N872)+LEN(O872)+LEN(P872)+LEN(Q872)+LEN(R872)+LEN(S872)+LEN(T872))=0,"",IF(OR(A872="",B872="",C872="",D872="",E872="",J872="",K872="",N872=""),"⚠ Champ obligatoire manquant",IF(AND(ISNUMBER(K872),ISNUMBER(J872),N(K872)&gt;N(J872)),"⚠ Prix Autopiec &gt; prix public",IF(COUNTIFS($A$2:$A$1001,A872,$B$2:$B$1001,B872)&gt;1,"⚠ Référence en double","✔ OK"))))</f>
        <v/>
      </c>
    </row>
    <row r="873" customFormat="false" ht="15" hidden="false" customHeight="false" outlineLevel="0" collapsed="false">
      <c r="A873" s="11"/>
      <c r="B873" s="27"/>
      <c r="C873" s="11"/>
      <c r="D873" s="11"/>
      <c r="E873" s="11"/>
      <c r="F873" s="27"/>
      <c r="G873" s="27"/>
      <c r="H873" s="11"/>
      <c r="I873" s="11"/>
      <c r="J873" s="12"/>
      <c r="K873" s="12"/>
      <c r="L873" s="28" t="str">
        <f aca="false">IF(AND(ISNUMBER(J873),ISNUMBER(K873),N(J873)&gt;0),1-K873/J873,"")</f>
        <v/>
      </c>
      <c r="M873" s="29"/>
      <c r="N873" s="30"/>
      <c r="O873" s="30"/>
      <c r="P873" s="11"/>
      <c r="Q873" s="31"/>
      <c r="R873" s="11"/>
      <c r="S873" s="11"/>
      <c r="T873" s="11"/>
      <c r="U873" s="32" t="str">
        <f aca="false">IF((LEN(A873)+LEN(B873)+LEN(C873)+LEN(D873)+LEN(E873)+LEN(F873)+LEN(G873)+LEN(H873)+LEN(I873)+LEN(J873)+LEN(K873)+LEN(M873)+LEN(N873)+LEN(O873)+LEN(P873)+LEN(Q873)+LEN(R873)+LEN(S873)+LEN(T873))=0,"",IF(OR(A873="",B873="",C873="",D873="",E873="",J873="",K873="",N873=""),"⚠ Champ obligatoire manquant",IF(AND(ISNUMBER(K873),ISNUMBER(J873),N(K873)&gt;N(J873)),"⚠ Prix Autopiec &gt; prix public",IF(COUNTIFS($A$2:$A$1001,A873,$B$2:$B$1001,B873)&gt;1,"⚠ Référence en double","✔ OK"))))</f>
        <v/>
      </c>
    </row>
    <row r="874" customFormat="false" ht="15" hidden="false" customHeight="false" outlineLevel="0" collapsed="false">
      <c r="A874" s="11"/>
      <c r="B874" s="27"/>
      <c r="C874" s="11"/>
      <c r="D874" s="11"/>
      <c r="E874" s="11"/>
      <c r="F874" s="27"/>
      <c r="G874" s="27"/>
      <c r="H874" s="11"/>
      <c r="I874" s="11"/>
      <c r="J874" s="12"/>
      <c r="K874" s="12"/>
      <c r="L874" s="28" t="str">
        <f aca="false">IF(AND(ISNUMBER(J874),ISNUMBER(K874),N(J874)&gt;0),1-K874/J874,"")</f>
        <v/>
      </c>
      <c r="M874" s="29"/>
      <c r="N874" s="30"/>
      <c r="O874" s="30"/>
      <c r="P874" s="11"/>
      <c r="Q874" s="31"/>
      <c r="R874" s="11"/>
      <c r="S874" s="11"/>
      <c r="T874" s="11"/>
      <c r="U874" s="32" t="str">
        <f aca="false">IF((LEN(A874)+LEN(B874)+LEN(C874)+LEN(D874)+LEN(E874)+LEN(F874)+LEN(G874)+LEN(H874)+LEN(I874)+LEN(J874)+LEN(K874)+LEN(M874)+LEN(N874)+LEN(O874)+LEN(P874)+LEN(Q874)+LEN(R874)+LEN(S874)+LEN(T874))=0,"",IF(OR(A874="",B874="",C874="",D874="",E874="",J874="",K874="",N874=""),"⚠ Champ obligatoire manquant",IF(AND(ISNUMBER(K874),ISNUMBER(J874),N(K874)&gt;N(J874)),"⚠ Prix Autopiec &gt; prix public",IF(COUNTIFS($A$2:$A$1001,A874,$B$2:$B$1001,B874)&gt;1,"⚠ Référence en double","✔ OK"))))</f>
        <v/>
      </c>
    </row>
    <row r="875" customFormat="false" ht="15" hidden="false" customHeight="false" outlineLevel="0" collapsed="false">
      <c r="A875" s="11"/>
      <c r="B875" s="27"/>
      <c r="C875" s="11"/>
      <c r="D875" s="11"/>
      <c r="E875" s="11"/>
      <c r="F875" s="27"/>
      <c r="G875" s="27"/>
      <c r="H875" s="11"/>
      <c r="I875" s="11"/>
      <c r="J875" s="12"/>
      <c r="K875" s="12"/>
      <c r="L875" s="28" t="str">
        <f aca="false">IF(AND(ISNUMBER(J875),ISNUMBER(K875),N(J875)&gt;0),1-K875/J875,"")</f>
        <v/>
      </c>
      <c r="M875" s="29"/>
      <c r="N875" s="30"/>
      <c r="O875" s="30"/>
      <c r="P875" s="11"/>
      <c r="Q875" s="31"/>
      <c r="R875" s="11"/>
      <c r="S875" s="11"/>
      <c r="T875" s="11"/>
      <c r="U875" s="32" t="str">
        <f aca="false">IF((LEN(A875)+LEN(B875)+LEN(C875)+LEN(D875)+LEN(E875)+LEN(F875)+LEN(G875)+LEN(H875)+LEN(I875)+LEN(J875)+LEN(K875)+LEN(M875)+LEN(N875)+LEN(O875)+LEN(P875)+LEN(Q875)+LEN(R875)+LEN(S875)+LEN(T875))=0,"",IF(OR(A875="",B875="",C875="",D875="",E875="",J875="",K875="",N875=""),"⚠ Champ obligatoire manquant",IF(AND(ISNUMBER(K875),ISNUMBER(J875),N(K875)&gt;N(J875)),"⚠ Prix Autopiec &gt; prix public",IF(COUNTIFS($A$2:$A$1001,A875,$B$2:$B$1001,B875)&gt;1,"⚠ Référence en double","✔ OK"))))</f>
        <v/>
      </c>
    </row>
    <row r="876" customFormat="false" ht="15" hidden="false" customHeight="false" outlineLevel="0" collapsed="false">
      <c r="A876" s="11"/>
      <c r="B876" s="27"/>
      <c r="C876" s="11"/>
      <c r="D876" s="11"/>
      <c r="E876" s="11"/>
      <c r="F876" s="27"/>
      <c r="G876" s="27"/>
      <c r="H876" s="11"/>
      <c r="I876" s="11"/>
      <c r="J876" s="12"/>
      <c r="K876" s="12"/>
      <c r="L876" s="28" t="str">
        <f aca="false">IF(AND(ISNUMBER(J876),ISNUMBER(K876),N(J876)&gt;0),1-K876/J876,"")</f>
        <v/>
      </c>
      <c r="M876" s="29"/>
      <c r="N876" s="30"/>
      <c r="O876" s="30"/>
      <c r="P876" s="11"/>
      <c r="Q876" s="31"/>
      <c r="R876" s="11"/>
      <c r="S876" s="11"/>
      <c r="T876" s="11"/>
      <c r="U876" s="32" t="str">
        <f aca="false">IF((LEN(A876)+LEN(B876)+LEN(C876)+LEN(D876)+LEN(E876)+LEN(F876)+LEN(G876)+LEN(H876)+LEN(I876)+LEN(J876)+LEN(K876)+LEN(M876)+LEN(N876)+LEN(O876)+LEN(P876)+LEN(Q876)+LEN(R876)+LEN(S876)+LEN(T876))=0,"",IF(OR(A876="",B876="",C876="",D876="",E876="",J876="",K876="",N876=""),"⚠ Champ obligatoire manquant",IF(AND(ISNUMBER(K876),ISNUMBER(J876),N(K876)&gt;N(J876)),"⚠ Prix Autopiec &gt; prix public",IF(COUNTIFS($A$2:$A$1001,A876,$B$2:$B$1001,B876)&gt;1,"⚠ Référence en double","✔ OK"))))</f>
        <v/>
      </c>
    </row>
    <row r="877" customFormat="false" ht="15" hidden="false" customHeight="false" outlineLevel="0" collapsed="false">
      <c r="A877" s="11"/>
      <c r="B877" s="27"/>
      <c r="C877" s="11"/>
      <c r="D877" s="11"/>
      <c r="E877" s="11"/>
      <c r="F877" s="27"/>
      <c r="G877" s="27"/>
      <c r="H877" s="11"/>
      <c r="I877" s="11"/>
      <c r="J877" s="12"/>
      <c r="K877" s="12"/>
      <c r="L877" s="28" t="str">
        <f aca="false">IF(AND(ISNUMBER(J877),ISNUMBER(K877),N(J877)&gt;0),1-K877/J877,"")</f>
        <v/>
      </c>
      <c r="M877" s="29"/>
      <c r="N877" s="30"/>
      <c r="O877" s="30"/>
      <c r="P877" s="11"/>
      <c r="Q877" s="31"/>
      <c r="R877" s="11"/>
      <c r="S877" s="11"/>
      <c r="T877" s="11"/>
      <c r="U877" s="32" t="str">
        <f aca="false">IF((LEN(A877)+LEN(B877)+LEN(C877)+LEN(D877)+LEN(E877)+LEN(F877)+LEN(G877)+LEN(H877)+LEN(I877)+LEN(J877)+LEN(K877)+LEN(M877)+LEN(N877)+LEN(O877)+LEN(P877)+LEN(Q877)+LEN(R877)+LEN(S877)+LEN(T877))=0,"",IF(OR(A877="",B877="",C877="",D877="",E877="",J877="",K877="",N877=""),"⚠ Champ obligatoire manquant",IF(AND(ISNUMBER(K877),ISNUMBER(J877),N(K877)&gt;N(J877)),"⚠ Prix Autopiec &gt; prix public",IF(COUNTIFS($A$2:$A$1001,A877,$B$2:$B$1001,B877)&gt;1,"⚠ Référence en double","✔ OK"))))</f>
        <v/>
      </c>
    </row>
    <row r="878" customFormat="false" ht="15" hidden="false" customHeight="false" outlineLevel="0" collapsed="false">
      <c r="A878" s="11"/>
      <c r="B878" s="27"/>
      <c r="C878" s="11"/>
      <c r="D878" s="11"/>
      <c r="E878" s="11"/>
      <c r="F878" s="27"/>
      <c r="G878" s="27"/>
      <c r="H878" s="11"/>
      <c r="I878" s="11"/>
      <c r="J878" s="12"/>
      <c r="K878" s="12"/>
      <c r="L878" s="28" t="str">
        <f aca="false">IF(AND(ISNUMBER(J878),ISNUMBER(K878),N(J878)&gt;0),1-K878/J878,"")</f>
        <v/>
      </c>
      <c r="M878" s="29"/>
      <c r="N878" s="30"/>
      <c r="O878" s="30"/>
      <c r="P878" s="11"/>
      <c r="Q878" s="31"/>
      <c r="R878" s="11"/>
      <c r="S878" s="11"/>
      <c r="T878" s="11"/>
      <c r="U878" s="32" t="str">
        <f aca="false">IF((LEN(A878)+LEN(B878)+LEN(C878)+LEN(D878)+LEN(E878)+LEN(F878)+LEN(G878)+LEN(H878)+LEN(I878)+LEN(J878)+LEN(K878)+LEN(M878)+LEN(N878)+LEN(O878)+LEN(P878)+LEN(Q878)+LEN(R878)+LEN(S878)+LEN(T878))=0,"",IF(OR(A878="",B878="",C878="",D878="",E878="",J878="",K878="",N878=""),"⚠ Champ obligatoire manquant",IF(AND(ISNUMBER(K878),ISNUMBER(J878),N(K878)&gt;N(J878)),"⚠ Prix Autopiec &gt; prix public",IF(COUNTIFS($A$2:$A$1001,A878,$B$2:$B$1001,B878)&gt;1,"⚠ Référence en double","✔ OK"))))</f>
        <v/>
      </c>
    </row>
    <row r="879" customFormat="false" ht="15" hidden="false" customHeight="false" outlineLevel="0" collapsed="false">
      <c r="A879" s="11"/>
      <c r="B879" s="27"/>
      <c r="C879" s="11"/>
      <c r="D879" s="11"/>
      <c r="E879" s="11"/>
      <c r="F879" s="27"/>
      <c r="G879" s="27"/>
      <c r="H879" s="11"/>
      <c r="I879" s="11"/>
      <c r="J879" s="12"/>
      <c r="K879" s="12"/>
      <c r="L879" s="28" t="str">
        <f aca="false">IF(AND(ISNUMBER(J879),ISNUMBER(K879),N(J879)&gt;0),1-K879/J879,"")</f>
        <v/>
      </c>
      <c r="M879" s="29"/>
      <c r="N879" s="30"/>
      <c r="O879" s="30"/>
      <c r="P879" s="11"/>
      <c r="Q879" s="31"/>
      <c r="R879" s="11"/>
      <c r="S879" s="11"/>
      <c r="T879" s="11"/>
      <c r="U879" s="32" t="str">
        <f aca="false">IF((LEN(A879)+LEN(B879)+LEN(C879)+LEN(D879)+LEN(E879)+LEN(F879)+LEN(G879)+LEN(H879)+LEN(I879)+LEN(J879)+LEN(K879)+LEN(M879)+LEN(N879)+LEN(O879)+LEN(P879)+LEN(Q879)+LEN(R879)+LEN(S879)+LEN(T879))=0,"",IF(OR(A879="",B879="",C879="",D879="",E879="",J879="",K879="",N879=""),"⚠ Champ obligatoire manquant",IF(AND(ISNUMBER(K879),ISNUMBER(J879),N(K879)&gt;N(J879)),"⚠ Prix Autopiec &gt; prix public",IF(COUNTIFS($A$2:$A$1001,A879,$B$2:$B$1001,B879)&gt;1,"⚠ Référence en double","✔ OK"))))</f>
        <v/>
      </c>
    </row>
    <row r="880" customFormat="false" ht="15" hidden="false" customHeight="false" outlineLevel="0" collapsed="false">
      <c r="A880" s="11"/>
      <c r="B880" s="27"/>
      <c r="C880" s="11"/>
      <c r="D880" s="11"/>
      <c r="E880" s="11"/>
      <c r="F880" s="27"/>
      <c r="G880" s="27"/>
      <c r="H880" s="11"/>
      <c r="I880" s="11"/>
      <c r="J880" s="12"/>
      <c r="K880" s="12"/>
      <c r="L880" s="28" t="str">
        <f aca="false">IF(AND(ISNUMBER(J880),ISNUMBER(K880),N(J880)&gt;0),1-K880/J880,"")</f>
        <v/>
      </c>
      <c r="M880" s="29"/>
      <c r="N880" s="30"/>
      <c r="O880" s="30"/>
      <c r="P880" s="11"/>
      <c r="Q880" s="31"/>
      <c r="R880" s="11"/>
      <c r="S880" s="11"/>
      <c r="T880" s="11"/>
      <c r="U880" s="32" t="str">
        <f aca="false">IF((LEN(A880)+LEN(B880)+LEN(C880)+LEN(D880)+LEN(E880)+LEN(F880)+LEN(G880)+LEN(H880)+LEN(I880)+LEN(J880)+LEN(K880)+LEN(M880)+LEN(N880)+LEN(O880)+LEN(P880)+LEN(Q880)+LEN(R880)+LEN(S880)+LEN(T880))=0,"",IF(OR(A880="",B880="",C880="",D880="",E880="",J880="",K880="",N880=""),"⚠ Champ obligatoire manquant",IF(AND(ISNUMBER(K880),ISNUMBER(J880),N(K880)&gt;N(J880)),"⚠ Prix Autopiec &gt; prix public",IF(COUNTIFS($A$2:$A$1001,A880,$B$2:$B$1001,B880)&gt;1,"⚠ Référence en double","✔ OK"))))</f>
        <v/>
      </c>
    </row>
    <row r="881" customFormat="false" ht="15" hidden="false" customHeight="false" outlineLevel="0" collapsed="false">
      <c r="A881" s="11"/>
      <c r="B881" s="27"/>
      <c r="C881" s="11"/>
      <c r="D881" s="11"/>
      <c r="E881" s="11"/>
      <c r="F881" s="27"/>
      <c r="G881" s="27"/>
      <c r="H881" s="11"/>
      <c r="I881" s="11"/>
      <c r="J881" s="12"/>
      <c r="K881" s="12"/>
      <c r="L881" s="28" t="str">
        <f aca="false">IF(AND(ISNUMBER(J881),ISNUMBER(K881),N(J881)&gt;0),1-K881/J881,"")</f>
        <v/>
      </c>
      <c r="M881" s="29"/>
      <c r="N881" s="30"/>
      <c r="O881" s="30"/>
      <c r="P881" s="11"/>
      <c r="Q881" s="31"/>
      <c r="R881" s="11"/>
      <c r="S881" s="11"/>
      <c r="T881" s="11"/>
      <c r="U881" s="32" t="str">
        <f aca="false">IF((LEN(A881)+LEN(B881)+LEN(C881)+LEN(D881)+LEN(E881)+LEN(F881)+LEN(G881)+LEN(H881)+LEN(I881)+LEN(J881)+LEN(K881)+LEN(M881)+LEN(N881)+LEN(O881)+LEN(P881)+LEN(Q881)+LEN(R881)+LEN(S881)+LEN(T881))=0,"",IF(OR(A881="",B881="",C881="",D881="",E881="",J881="",K881="",N881=""),"⚠ Champ obligatoire manquant",IF(AND(ISNUMBER(K881),ISNUMBER(J881),N(K881)&gt;N(J881)),"⚠ Prix Autopiec &gt; prix public",IF(COUNTIFS($A$2:$A$1001,A881,$B$2:$B$1001,B881)&gt;1,"⚠ Référence en double","✔ OK"))))</f>
        <v/>
      </c>
    </row>
    <row r="882" customFormat="false" ht="15" hidden="false" customHeight="false" outlineLevel="0" collapsed="false">
      <c r="A882" s="11"/>
      <c r="B882" s="27"/>
      <c r="C882" s="11"/>
      <c r="D882" s="11"/>
      <c r="E882" s="11"/>
      <c r="F882" s="27"/>
      <c r="G882" s="27"/>
      <c r="H882" s="11"/>
      <c r="I882" s="11"/>
      <c r="J882" s="12"/>
      <c r="K882" s="12"/>
      <c r="L882" s="28" t="str">
        <f aca="false">IF(AND(ISNUMBER(J882),ISNUMBER(K882),N(J882)&gt;0),1-K882/J882,"")</f>
        <v/>
      </c>
      <c r="M882" s="29"/>
      <c r="N882" s="30"/>
      <c r="O882" s="30"/>
      <c r="P882" s="11"/>
      <c r="Q882" s="31"/>
      <c r="R882" s="11"/>
      <c r="S882" s="11"/>
      <c r="T882" s="11"/>
      <c r="U882" s="32" t="str">
        <f aca="false">IF((LEN(A882)+LEN(B882)+LEN(C882)+LEN(D882)+LEN(E882)+LEN(F882)+LEN(G882)+LEN(H882)+LEN(I882)+LEN(J882)+LEN(K882)+LEN(M882)+LEN(N882)+LEN(O882)+LEN(P882)+LEN(Q882)+LEN(R882)+LEN(S882)+LEN(T882))=0,"",IF(OR(A882="",B882="",C882="",D882="",E882="",J882="",K882="",N882=""),"⚠ Champ obligatoire manquant",IF(AND(ISNUMBER(K882),ISNUMBER(J882),N(K882)&gt;N(J882)),"⚠ Prix Autopiec &gt; prix public",IF(COUNTIFS($A$2:$A$1001,A882,$B$2:$B$1001,B882)&gt;1,"⚠ Référence en double","✔ OK"))))</f>
        <v/>
      </c>
    </row>
    <row r="883" customFormat="false" ht="15" hidden="false" customHeight="false" outlineLevel="0" collapsed="false">
      <c r="A883" s="11"/>
      <c r="B883" s="27"/>
      <c r="C883" s="11"/>
      <c r="D883" s="11"/>
      <c r="E883" s="11"/>
      <c r="F883" s="27"/>
      <c r="G883" s="27"/>
      <c r="H883" s="11"/>
      <c r="I883" s="11"/>
      <c r="J883" s="12"/>
      <c r="K883" s="12"/>
      <c r="L883" s="28" t="str">
        <f aca="false">IF(AND(ISNUMBER(J883),ISNUMBER(K883),N(J883)&gt;0),1-K883/J883,"")</f>
        <v/>
      </c>
      <c r="M883" s="29"/>
      <c r="N883" s="30"/>
      <c r="O883" s="30"/>
      <c r="P883" s="11"/>
      <c r="Q883" s="31"/>
      <c r="R883" s="11"/>
      <c r="S883" s="11"/>
      <c r="T883" s="11"/>
      <c r="U883" s="32" t="str">
        <f aca="false">IF((LEN(A883)+LEN(B883)+LEN(C883)+LEN(D883)+LEN(E883)+LEN(F883)+LEN(G883)+LEN(H883)+LEN(I883)+LEN(J883)+LEN(K883)+LEN(M883)+LEN(N883)+LEN(O883)+LEN(P883)+LEN(Q883)+LEN(R883)+LEN(S883)+LEN(T883))=0,"",IF(OR(A883="",B883="",C883="",D883="",E883="",J883="",K883="",N883=""),"⚠ Champ obligatoire manquant",IF(AND(ISNUMBER(K883),ISNUMBER(J883),N(K883)&gt;N(J883)),"⚠ Prix Autopiec &gt; prix public",IF(COUNTIFS($A$2:$A$1001,A883,$B$2:$B$1001,B883)&gt;1,"⚠ Référence en double","✔ OK"))))</f>
        <v/>
      </c>
    </row>
    <row r="884" customFormat="false" ht="15" hidden="false" customHeight="false" outlineLevel="0" collapsed="false">
      <c r="A884" s="11"/>
      <c r="B884" s="27"/>
      <c r="C884" s="11"/>
      <c r="D884" s="11"/>
      <c r="E884" s="11"/>
      <c r="F884" s="27"/>
      <c r="G884" s="27"/>
      <c r="H884" s="11"/>
      <c r="I884" s="11"/>
      <c r="J884" s="12"/>
      <c r="K884" s="12"/>
      <c r="L884" s="28" t="str">
        <f aca="false">IF(AND(ISNUMBER(J884),ISNUMBER(K884),N(J884)&gt;0),1-K884/J884,"")</f>
        <v/>
      </c>
      <c r="M884" s="29"/>
      <c r="N884" s="30"/>
      <c r="O884" s="30"/>
      <c r="P884" s="11"/>
      <c r="Q884" s="31"/>
      <c r="R884" s="11"/>
      <c r="S884" s="11"/>
      <c r="T884" s="11"/>
      <c r="U884" s="32" t="str">
        <f aca="false">IF((LEN(A884)+LEN(B884)+LEN(C884)+LEN(D884)+LEN(E884)+LEN(F884)+LEN(G884)+LEN(H884)+LEN(I884)+LEN(J884)+LEN(K884)+LEN(M884)+LEN(N884)+LEN(O884)+LEN(P884)+LEN(Q884)+LEN(R884)+LEN(S884)+LEN(T884))=0,"",IF(OR(A884="",B884="",C884="",D884="",E884="",J884="",K884="",N884=""),"⚠ Champ obligatoire manquant",IF(AND(ISNUMBER(K884),ISNUMBER(J884),N(K884)&gt;N(J884)),"⚠ Prix Autopiec &gt; prix public",IF(COUNTIFS($A$2:$A$1001,A884,$B$2:$B$1001,B884)&gt;1,"⚠ Référence en double","✔ OK"))))</f>
        <v/>
      </c>
    </row>
    <row r="885" customFormat="false" ht="15" hidden="false" customHeight="false" outlineLevel="0" collapsed="false">
      <c r="A885" s="11"/>
      <c r="B885" s="27"/>
      <c r="C885" s="11"/>
      <c r="D885" s="11"/>
      <c r="E885" s="11"/>
      <c r="F885" s="27"/>
      <c r="G885" s="27"/>
      <c r="H885" s="11"/>
      <c r="I885" s="11"/>
      <c r="J885" s="12"/>
      <c r="K885" s="12"/>
      <c r="L885" s="28" t="str">
        <f aca="false">IF(AND(ISNUMBER(J885),ISNUMBER(K885),N(J885)&gt;0),1-K885/J885,"")</f>
        <v/>
      </c>
      <c r="M885" s="29"/>
      <c r="N885" s="30"/>
      <c r="O885" s="30"/>
      <c r="P885" s="11"/>
      <c r="Q885" s="31"/>
      <c r="R885" s="11"/>
      <c r="S885" s="11"/>
      <c r="T885" s="11"/>
      <c r="U885" s="32" t="str">
        <f aca="false">IF((LEN(A885)+LEN(B885)+LEN(C885)+LEN(D885)+LEN(E885)+LEN(F885)+LEN(G885)+LEN(H885)+LEN(I885)+LEN(J885)+LEN(K885)+LEN(M885)+LEN(N885)+LEN(O885)+LEN(P885)+LEN(Q885)+LEN(R885)+LEN(S885)+LEN(T885))=0,"",IF(OR(A885="",B885="",C885="",D885="",E885="",J885="",K885="",N885=""),"⚠ Champ obligatoire manquant",IF(AND(ISNUMBER(K885),ISNUMBER(J885),N(K885)&gt;N(J885)),"⚠ Prix Autopiec &gt; prix public",IF(COUNTIFS($A$2:$A$1001,A885,$B$2:$B$1001,B885)&gt;1,"⚠ Référence en double","✔ OK"))))</f>
        <v/>
      </c>
    </row>
    <row r="886" customFormat="false" ht="15" hidden="false" customHeight="false" outlineLevel="0" collapsed="false">
      <c r="A886" s="11"/>
      <c r="B886" s="27"/>
      <c r="C886" s="11"/>
      <c r="D886" s="11"/>
      <c r="E886" s="11"/>
      <c r="F886" s="27"/>
      <c r="G886" s="27"/>
      <c r="H886" s="11"/>
      <c r="I886" s="11"/>
      <c r="J886" s="12"/>
      <c r="K886" s="12"/>
      <c r="L886" s="28" t="str">
        <f aca="false">IF(AND(ISNUMBER(J886),ISNUMBER(K886),N(J886)&gt;0),1-K886/J886,"")</f>
        <v/>
      </c>
      <c r="M886" s="29"/>
      <c r="N886" s="30"/>
      <c r="O886" s="30"/>
      <c r="P886" s="11"/>
      <c r="Q886" s="31"/>
      <c r="R886" s="11"/>
      <c r="S886" s="11"/>
      <c r="T886" s="11"/>
      <c r="U886" s="32" t="str">
        <f aca="false">IF((LEN(A886)+LEN(B886)+LEN(C886)+LEN(D886)+LEN(E886)+LEN(F886)+LEN(G886)+LEN(H886)+LEN(I886)+LEN(J886)+LEN(K886)+LEN(M886)+LEN(N886)+LEN(O886)+LEN(P886)+LEN(Q886)+LEN(R886)+LEN(S886)+LEN(T886))=0,"",IF(OR(A886="",B886="",C886="",D886="",E886="",J886="",K886="",N886=""),"⚠ Champ obligatoire manquant",IF(AND(ISNUMBER(K886),ISNUMBER(J886),N(K886)&gt;N(J886)),"⚠ Prix Autopiec &gt; prix public",IF(COUNTIFS($A$2:$A$1001,A886,$B$2:$B$1001,B886)&gt;1,"⚠ Référence en double","✔ OK"))))</f>
        <v/>
      </c>
    </row>
    <row r="887" customFormat="false" ht="15" hidden="false" customHeight="false" outlineLevel="0" collapsed="false">
      <c r="A887" s="11"/>
      <c r="B887" s="27"/>
      <c r="C887" s="11"/>
      <c r="D887" s="11"/>
      <c r="E887" s="11"/>
      <c r="F887" s="27"/>
      <c r="G887" s="27"/>
      <c r="H887" s="11"/>
      <c r="I887" s="11"/>
      <c r="J887" s="12"/>
      <c r="K887" s="12"/>
      <c r="L887" s="28" t="str">
        <f aca="false">IF(AND(ISNUMBER(J887),ISNUMBER(K887),N(J887)&gt;0),1-K887/J887,"")</f>
        <v/>
      </c>
      <c r="M887" s="29"/>
      <c r="N887" s="30"/>
      <c r="O887" s="30"/>
      <c r="P887" s="11"/>
      <c r="Q887" s="31"/>
      <c r="R887" s="11"/>
      <c r="S887" s="11"/>
      <c r="T887" s="11"/>
      <c r="U887" s="32" t="str">
        <f aca="false">IF((LEN(A887)+LEN(B887)+LEN(C887)+LEN(D887)+LEN(E887)+LEN(F887)+LEN(G887)+LEN(H887)+LEN(I887)+LEN(J887)+LEN(K887)+LEN(M887)+LEN(N887)+LEN(O887)+LEN(P887)+LEN(Q887)+LEN(R887)+LEN(S887)+LEN(T887))=0,"",IF(OR(A887="",B887="",C887="",D887="",E887="",J887="",K887="",N887=""),"⚠ Champ obligatoire manquant",IF(AND(ISNUMBER(K887),ISNUMBER(J887),N(K887)&gt;N(J887)),"⚠ Prix Autopiec &gt; prix public",IF(COUNTIFS($A$2:$A$1001,A887,$B$2:$B$1001,B887)&gt;1,"⚠ Référence en double","✔ OK"))))</f>
        <v/>
      </c>
    </row>
    <row r="888" customFormat="false" ht="15" hidden="false" customHeight="false" outlineLevel="0" collapsed="false">
      <c r="A888" s="11"/>
      <c r="B888" s="27"/>
      <c r="C888" s="11"/>
      <c r="D888" s="11"/>
      <c r="E888" s="11"/>
      <c r="F888" s="27"/>
      <c r="G888" s="27"/>
      <c r="H888" s="11"/>
      <c r="I888" s="11"/>
      <c r="J888" s="12"/>
      <c r="K888" s="12"/>
      <c r="L888" s="28" t="str">
        <f aca="false">IF(AND(ISNUMBER(J888),ISNUMBER(K888),N(J888)&gt;0),1-K888/J888,"")</f>
        <v/>
      </c>
      <c r="M888" s="29"/>
      <c r="N888" s="30"/>
      <c r="O888" s="30"/>
      <c r="P888" s="11"/>
      <c r="Q888" s="31"/>
      <c r="R888" s="11"/>
      <c r="S888" s="11"/>
      <c r="T888" s="11"/>
      <c r="U888" s="32" t="str">
        <f aca="false">IF((LEN(A888)+LEN(B888)+LEN(C888)+LEN(D888)+LEN(E888)+LEN(F888)+LEN(G888)+LEN(H888)+LEN(I888)+LEN(J888)+LEN(K888)+LEN(M888)+LEN(N888)+LEN(O888)+LEN(P888)+LEN(Q888)+LEN(R888)+LEN(S888)+LEN(T888))=0,"",IF(OR(A888="",B888="",C888="",D888="",E888="",J888="",K888="",N888=""),"⚠ Champ obligatoire manquant",IF(AND(ISNUMBER(K888),ISNUMBER(J888),N(K888)&gt;N(J888)),"⚠ Prix Autopiec &gt; prix public",IF(COUNTIFS($A$2:$A$1001,A888,$B$2:$B$1001,B888)&gt;1,"⚠ Référence en double","✔ OK"))))</f>
        <v/>
      </c>
    </row>
    <row r="889" customFormat="false" ht="15" hidden="false" customHeight="false" outlineLevel="0" collapsed="false">
      <c r="A889" s="11"/>
      <c r="B889" s="27"/>
      <c r="C889" s="11"/>
      <c r="D889" s="11"/>
      <c r="E889" s="11"/>
      <c r="F889" s="27"/>
      <c r="G889" s="27"/>
      <c r="H889" s="11"/>
      <c r="I889" s="11"/>
      <c r="J889" s="12"/>
      <c r="K889" s="12"/>
      <c r="L889" s="28" t="str">
        <f aca="false">IF(AND(ISNUMBER(J889),ISNUMBER(K889),N(J889)&gt;0),1-K889/J889,"")</f>
        <v/>
      </c>
      <c r="M889" s="29"/>
      <c r="N889" s="30"/>
      <c r="O889" s="30"/>
      <c r="P889" s="11"/>
      <c r="Q889" s="31"/>
      <c r="R889" s="11"/>
      <c r="S889" s="11"/>
      <c r="T889" s="11"/>
      <c r="U889" s="32" t="str">
        <f aca="false">IF((LEN(A889)+LEN(B889)+LEN(C889)+LEN(D889)+LEN(E889)+LEN(F889)+LEN(G889)+LEN(H889)+LEN(I889)+LEN(J889)+LEN(K889)+LEN(M889)+LEN(N889)+LEN(O889)+LEN(P889)+LEN(Q889)+LEN(R889)+LEN(S889)+LEN(T889))=0,"",IF(OR(A889="",B889="",C889="",D889="",E889="",J889="",K889="",N889=""),"⚠ Champ obligatoire manquant",IF(AND(ISNUMBER(K889),ISNUMBER(J889),N(K889)&gt;N(J889)),"⚠ Prix Autopiec &gt; prix public",IF(COUNTIFS($A$2:$A$1001,A889,$B$2:$B$1001,B889)&gt;1,"⚠ Référence en double","✔ OK"))))</f>
        <v/>
      </c>
    </row>
    <row r="890" customFormat="false" ht="15" hidden="false" customHeight="false" outlineLevel="0" collapsed="false">
      <c r="A890" s="11"/>
      <c r="B890" s="27"/>
      <c r="C890" s="11"/>
      <c r="D890" s="11"/>
      <c r="E890" s="11"/>
      <c r="F890" s="27"/>
      <c r="G890" s="27"/>
      <c r="H890" s="11"/>
      <c r="I890" s="11"/>
      <c r="J890" s="12"/>
      <c r="K890" s="12"/>
      <c r="L890" s="28" t="str">
        <f aca="false">IF(AND(ISNUMBER(J890),ISNUMBER(K890),N(J890)&gt;0),1-K890/J890,"")</f>
        <v/>
      </c>
      <c r="M890" s="29"/>
      <c r="N890" s="30"/>
      <c r="O890" s="30"/>
      <c r="P890" s="11"/>
      <c r="Q890" s="31"/>
      <c r="R890" s="11"/>
      <c r="S890" s="11"/>
      <c r="T890" s="11"/>
      <c r="U890" s="32" t="str">
        <f aca="false">IF((LEN(A890)+LEN(B890)+LEN(C890)+LEN(D890)+LEN(E890)+LEN(F890)+LEN(G890)+LEN(H890)+LEN(I890)+LEN(J890)+LEN(K890)+LEN(M890)+LEN(N890)+LEN(O890)+LEN(P890)+LEN(Q890)+LEN(R890)+LEN(S890)+LEN(T890))=0,"",IF(OR(A890="",B890="",C890="",D890="",E890="",J890="",K890="",N890=""),"⚠ Champ obligatoire manquant",IF(AND(ISNUMBER(K890),ISNUMBER(J890),N(K890)&gt;N(J890)),"⚠ Prix Autopiec &gt; prix public",IF(COUNTIFS($A$2:$A$1001,A890,$B$2:$B$1001,B890)&gt;1,"⚠ Référence en double","✔ OK"))))</f>
        <v/>
      </c>
    </row>
    <row r="891" customFormat="false" ht="15" hidden="false" customHeight="false" outlineLevel="0" collapsed="false">
      <c r="A891" s="11"/>
      <c r="B891" s="27"/>
      <c r="C891" s="11"/>
      <c r="D891" s="11"/>
      <c r="E891" s="11"/>
      <c r="F891" s="27"/>
      <c r="G891" s="27"/>
      <c r="H891" s="11"/>
      <c r="I891" s="11"/>
      <c r="J891" s="12"/>
      <c r="K891" s="12"/>
      <c r="L891" s="28" t="str">
        <f aca="false">IF(AND(ISNUMBER(J891),ISNUMBER(K891),N(J891)&gt;0),1-K891/J891,"")</f>
        <v/>
      </c>
      <c r="M891" s="29"/>
      <c r="N891" s="30"/>
      <c r="O891" s="30"/>
      <c r="P891" s="11"/>
      <c r="Q891" s="31"/>
      <c r="R891" s="11"/>
      <c r="S891" s="11"/>
      <c r="T891" s="11"/>
      <c r="U891" s="32" t="str">
        <f aca="false">IF((LEN(A891)+LEN(B891)+LEN(C891)+LEN(D891)+LEN(E891)+LEN(F891)+LEN(G891)+LEN(H891)+LEN(I891)+LEN(J891)+LEN(K891)+LEN(M891)+LEN(N891)+LEN(O891)+LEN(P891)+LEN(Q891)+LEN(R891)+LEN(S891)+LEN(T891))=0,"",IF(OR(A891="",B891="",C891="",D891="",E891="",J891="",K891="",N891=""),"⚠ Champ obligatoire manquant",IF(AND(ISNUMBER(K891),ISNUMBER(J891),N(K891)&gt;N(J891)),"⚠ Prix Autopiec &gt; prix public",IF(COUNTIFS($A$2:$A$1001,A891,$B$2:$B$1001,B891)&gt;1,"⚠ Référence en double","✔ OK"))))</f>
        <v/>
      </c>
    </row>
    <row r="892" customFormat="false" ht="15" hidden="false" customHeight="false" outlineLevel="0" collapsed="false">
      <c r="A892" s="11"/>
      <c r="B892" s="27"/>
      <c r="C892" s="11"/>
      <c r="D892" s="11"/>
      <c r="E892" s="11"/>
      <c r="F892" s="27"/>
      <c r="G892" s="27"/>
      <c r="H892" s="11"/>
      <c r="I892" s="11"/>
      <c r="J892" s="12"/>
      <c r="K892" s="12"/>
      <c r="L892" s="28" t="str">
        <f aca="false">IF(AND(ISNUMBER(J892),ISNUMBER(K892),N(J892)&gt;0),1-K892/J892,"")</f>
        <v/>
      </c>
      <c r="M892" s="29"/>
      <c r="N892" s="30"/>
      <c r="O892" s="30"/>
      <c r="P892" s="11"/>
      <c r="Q892" s="31"/>
      <c r="R892" s="11"/>
      <c r="S892" s="11"/>
      <c r="T892" s="11"/>
      <c r="U892" s="32" t="str">
        <f aca="false">IF((LEN(A892)+LEN(B892)+LEN(C892)+LEN(D892)+LEN(E892)+LEN(F892)+LEN(G892)+LEN(H892)+LEN(I892)+LEN(J892)+LEN(K892)+LEN(M892)+LEN(N892)+LEN(O892)+LEN(P892)+LEN(Q892)+LEN(R892)+LEN(S892)+LEN(T892))=0,"",IF(OR(A892="",B892="",C892="",D892="",E892="",J892="",K892="",N892=""),"⚠ Champ obligatoire manquant",IF(AND(ISNUMBER(K892),ISNUMBER(J892),N(K892)&gt;N(J892)),"⚠ Prix Autopiec &gt; prix public",IF(COUNTIFS($A$2:$A$1001,A892,$B$2:$B$1001,B892)&gt;1,"⚠ Référence en double","✔ OK"))))</f>
        <v/>
      </c>
    </row>
    <row r="893" customFormat="false" ht="15" hidden="false" customHeight="false" outlineLevel="0" collapsed="false">
      <c r="A893" s="11"/>
      <c r="B893" s="27"/>
      <c r="C893" s="11"/>
      <c r="D893" s="11"/>
      <c r="E893" s="11"/>
      <c r="F893" s="27"/>
      <c r="G893" s="27"/>
      <c r="H893" s="11"/>
      <c r="I893" s="11"/>
      <c r="J893" s="12"/>
      <c r="K893" s="12"/>
      <c r="L893" s="28" t="str">
        <f aca="false">IF(AND(ISNUMBER(J893),ISNUMBER(K893),N(J893)&gt;0),1-K893/J893,"")</f>
        <v/>
      </c>
      <c r="M893" s="29"/>
      <c r="N893" s="30"/>
      <c r="O893" s="30"/>
      <c r="P893" s="11"/>
      <c r="Q893" s="31"/>
      <c r="R893" s="11"/>
      <c r="S893" s="11"/>
      <c r="T893" s="11"/>
      <c r="U893" s="32" t="str">
        <f aca="false">IF((LEN(A893)+LEN(B893)+LEN(C893)+LEN(D893)+LEN(E893)+LEN(F893)+LEN(G893)+LEN(H893)+LEN(I893)+LEN(J893)+LEN(K893)+LEN(M893)+LEN(N893)+LEN(O893)+LEN(P893)+LEN(Q893)+LEN(R893)+LEN(S893)+LEN(T893))=0,"",IF(OR(A893="",B893="",C893="",D893="",E893="",J893="",K893="",N893=""),"⚠ Champ obligatoire manquant",IF(AND(ISNUMBER(K893),ISNUMBER(J893),N(K893)&gt;N(J893)),"⚠ Prix Autopiec &gt; prix public",IF(COUNTIFS($A$2:$A$1001,A893,$B$2:$B$1001,B893)&gt;1,"⚠ Référence en double","✔ OK"))))</f>
        <v/>
      </c>
    </row>
    <row r="894" customFormat="false" ht="15" hidden="false" customHeight="false" outlineLevel="0" collapsed="false">
      <c r="A894" s="11"/>
      <c r="B894" s="27"/>
      <c r="C894" s="11"/>
      <c r="D894" s="11"/>
      <c r="E894" s="11"/>
      <c r="F894" s="27"/>
      <c r="G894" s="27"/>
      <c r="H894" s="11"/>
      <c r="I894" s="11"/>
      <c r="J894" s="12"/>
      <c r="K894" s="12"/>
      <c r="L894" s="28" t="str">
        <f aca="false">IF(AND(ISNUMBER(J894),ISNUMBER(K894),N(J894)&gt;0),1-K894/J894,"")</f>
        <v/>
      </c>
      <c r="M894" s="29"/>
      <c r="N894" s="30"/>
      <c r="O894" s="30"/>
      <c r="P894" s="11"/>
      <c r="Q894" s="31"/>
      <c r="R894" s="11"/>
      <c r="S894" s="11"/>
      <c r="T894" s="11"/>
      <c r="U894" s="32" t="str">
        <f aca="false">IF((LEN(A894)+LEN(B894)+LEN(C894)+LEN(D894)+LEN(E894)+LEN(F894)+LEN(G894)+LEN(H894)+LEN(I894)+LEN(J894)+LEN(K894)+LEN(M894)+LEN(N894)+LEN(O894)+LEN(P894)+LEN(Q894)+LEN(R894)+LEN(S894)+LEN(T894))=0,"",IF(OR(A894="",B894="",C894="",D894="",E894="",J894="",K894="",N894=""),"⚠ Champ obligatoire manquant",IF(AND(ISNUMBER(K894),ISNUMBER(J894),N(K894)&gt;N(J894)),"⚠ Prix Autopiec &gt; prix public",IF(COUNTIFS($A$2:$A$1001,A894,$B$2:$B$1001,B894)&gt;1,"⚠ Référence en double","✔ OK"))))</f>
        <v/>
      </c>
    </row>
    <row r="895" customFormat="false" ht="15" hidden="false" customHeight="false" outlineLevel="0" collapsed="false">
      <c r="A895" s="11"/>
      <c r="B895" s="27"/>
      <c r="C895" s="11"/>
      <c r="D895" s="11"/>
      <c r="E895" s="11"/>
      <c r="F895" s="27"/>
      <c r="G895" s="27"/>
      <c r="H895" s="11"/>
      <c r="I895" s="11"/>
      <c r="J895" s="12"/>
      <c r="K895" s="12"/>
      <c r="L895" s="28" t="str">
        <f aca="false">IF(AND(ISNUMBER(J895),ISNUMBER(K895),N(J895)&gt;0),1-K895/J895,"")</f>
        <v/>
      </c>
      <c r="M895" s="29"/>
      <c r="N895" s="30"/>
      <c r="O895" s="30"/>
      <c r="P895" s="11"/>
      <c r="Q895" s="31"/>
      <c r="R895" s="11"/>
      <c r="S895" s="11"/>
      <c r="T895" s="11"/>
      <c r="U895" s="32" t="str">
        <f aca="false">IF((LEN(A895)+LEN(B895)+LEN(C895)+LEN(D895)+LEN(E895)+LEN(F895)+LEN(G895)+LEN(H895)+LEN(I895)+LEN(J895)+LEN(K895)+LEN(M895)+LEN(N895)+LEN(O895)+LEN(P895)+LEN(Q895)+LEN(R895)+LEN(S895)+LEN(T895))=0,"",IF(OR(A895="",B895="",C895="",D895="",E895="",J895="",K895="",N895=""),"⚠ Champ obligatoire manquant",IF(AND(ISNUMBER(K895),ISNUMBER(J895),N(K895)&gt;N(J895)),"⚠ Prix Autopiec &gt; prix public",IF(COUNTIFS($A$2:$A$1001,A895,$B$2:$B$1001,B895)&gt;1,"⚠ Référence en double","✔ OK"))))</f>
        <v/>
      </c>
    </row>
    <row r="896" customFormat="false" ht="15" hidden="false" customHeight="false" outlineLevel="0" collapsed="false">
      <c r="A896" s="11"/>
      <c r="B896" s="27"/>
      <c r="C896" s="11"/>
      <c r="D896" s="11"/>
      <c r="E896" s="11"/>
      <c r="F896" s="27"/>
      <c r="G896" s="27"/>
      <c r="H896" s="11"/>
      <c r="I896" s="11"/>
      <c r="J896" s="12"/>
      <c r="K896" s="12"/>
      <c r="L896" s="28" t="str">
        <f aca="false">IF(AND(ISNUMBER(J896),ISNUMBER(K896),N(J896)&gt;0),1-K896/J896,"")</f>
        <v/>
      </c>
      <c r="M896" s="29"/>
      <c r="N896" s="30"/>
      <c r="O896" s="30"/>
      <c r="P896" s="11"/>
      <c r="Q896" s="31"/>
      <c r="R896" s="11"/>
      <c r="S896" s="11"/>
      <c r="T896" s="11"/>
      <c r="U896" s="32" t="str">
        <f aca="false">IF((LEN(A896)+LEN(B896)+LEN(C896)+LEN(D896)+LEN(E896)+LEN(F896)+LEN(G896)+LEN(H896)+LEN(I896)+LEN(J896)+LEN(K896)+LEN(M896)+LEN(N896)+LEN(O896)+LEN(P896)+LEN(Q896)+LEN(R896)+LEN(S896)+LEN(T896))=0,"",IF(OR(A896="",B896="",C896="",D896="",E896="",J896="",K896="",N896=""),"⚠ Champ obligatoire manquant",IF(AND(ISNUMBER(K896),ISNUMBER(J896),N(K896)&gt;N(J896)),"⚠ Prix Autopiec &gt; prix public",IF(COUNTIFS($A$2:$A$1001,A896,$B$2:$B$1001,B896)&gt;1,"⚠ Référence en double","✔ OK"))))</f>
        <v/>
      </c>
    </row>
    <row r="897" customFormat="false" ht="15" hidden="false" customHeight="false" outlineLevel="0" collapsed="false">
      <c r="A897" s="11"/>
      <c r="B897" s="27"/>
      <c r="C897" s="11"/>
      <c r="D897" s="11"/>
      <c r="E897" s="11"/>
      <c r="F897" s="27"/>
      <c r="G897" s="27"/>
      <c r="H897" s="11"/>
      <c r="I897" s="11"/>
      <c r="J897" s="12"/>
      <c r="K897" s="12"/>
      <c r="L897" s="28" t="str">
        <f aca="false">IF(AND(ISNUMBER(J897),ISNUMBER(K897),N(J897)&gt;0),1-K897/J897,"")</f>
        <v/>
      </c>
      <c r="M897" s="29"/>
      <c r="N897" s="30"/>
      <c r="O897" s="30"/>
      <c r="P897" s="11"/>
      <c r="Q897" s="31"/>
      <c r="R897" s="11"/>
      <c r="S897" s="11"/>
      <c r="T897" s="11"/>
      <c r="U897" s="32" t="str">
        <f aca="false">IF((LEN(A897)+LEN(B897)+LEN(C897)+LEN(D897)+LEN(E897)+LEN(F897)+LEN(G897)+LEN(H897)+LEN(I897)+LEN(J897)+LEN(K897)+LEN(M897)+LEN(N897)+LEN(O897)+LEN(P897)+LEN(Q897)+LEN(R897)+LEN(S897)+LEN(T897))=0,"",IF(OR(A897="",B897="",C897="",D897="",E897="",J897="",K897="",N897=""),"⚠ Champ obligatoire manquant",IF(AND(ISNUMBER(K897),ISNUMBER(J897),N(K897)&gt;N(J897)),"⚠ Prix Autopiec &gt; prix public",IF(COUNTIFS($A$2:$A$1001,A897,$B$2:$B$1001,B897)&gt;1,"⚠ Référence en double","✔ OK"))))</f>
        <v/>
      </c>
    </row>
    <row r="898" customFormat="false" ht="15" hidden="false" customHeight="false" outlineLevel="0" collapsed="false">
      <c r="A898" s="11"/>
      <c r="B898" s="27"/>
      <c r="C898" s="11"/>
      <c r="D898" s="11"/>
      <c r="E898" s="11"/>
      <c r="F898" s="27"/>
      <c r="G898" s="27"/>
      <c r="H898" s="11"/>
      <c r="I898" s="11"/>
      <c r="J898" s="12"/>
      <c r="K898" s="12"/>
      <c r="L898" s="28" t="str">
        <f aca="false">IF(AND(ISNUMBER(J898),ISNUMBER(K898),N(J898)&gt;0),1-K898/J898,"")</f>
        <v/>
      </c>
      <c r="M898" s="29"/>
      <c r="N898" s="30"/>
      <c r="O898" s="30"/>
      <c r="P898" s="11"/>
      <c r="Q898" s="31"/>
      <c r="R898" s="11"/>
      <c r="S898" s="11"/>
      <c r="T898" s="11"/>
      <c r="U898" s="32" t="str">
        <f aca="false">IF((LEN(A898)+LEN(B898)+LEN(C898)+LEN(D898)+LEN(E898)+LEN(F898)+LEN(G898)+LEN(H898)+LEN(I898)+LEN(J898)+LEN(K898)+LEN(M898)+LEN(N898)+LEN(O898)+LEN(P898)+LEN(Q898)+LEN(R898)+LEN(S898)+LEN(T898))=0,"",IF(OR(A898="",B898="",C898="",D898="",E898="",J898="",K898="",N898=""),"⚠ Champ obligatoire manquant",IF(AND(ISNUMBER(K898),ISNUMBER(J898),N(K898)&gt;N(J898)),"⚠ Prix Autopiec &gt; prix public",IF(COUNTIFS($A$2:$A$1001,A898,$B$2:$B$1001,B898)&gt;1,"⚠ Référence en double","✔ OK"))))</f>
        <v/>
      </c>
    </row>
    <row r="899" customFormat="false" ht="15" hidden="false" customHeight="false" outlineLevel="0" collapsed="false">
      <c r="A899" s="11"/>
      <c r="B899" s="27"/>
      <c r="C899" s="11"/>
      <c r="D899" s="11"/>
      <c r="E899" s="11"/>
      <c r="F899" s="27"/>
      <c r="G899" s="27"/>
      <c r="H899" s="11"/>
      <c r="I899" s="11"/>
      <c r="J899" s="12"/>
      <c r="K899" s="12"/>
      <c r="L899" s="28" t="str">
        <f aca="false">IF(AND(ISNUMBER(J899),ISNUMBER(K899),N(J899)&gt;0),1-K899/J899,"")</f>
        <v/>
      </c>
      <c r="M899" s="29"/>
      <c r="N899" s="30"/>
      <c r="O899" s="30"/>
      <c r="P899" s="11"/>
      <c r="Q899" s="31"/>
      <c r="R899" s="11"/>
      <c r="S899" s="11"/>
      <c r="T899" s="11"/>
      <c r="U899" s="32" t="str">
        <f aca="false">IF((LEN(A899)+LEN(B899)+LEN(C899)+LEN(D899)+LEN(E899)+LEN(F899)+LEN(G899)+LEN(H899)+LEN(I899)+LEN(J899)+LEN(K899)+LEN(M899)+LEN(N899)+LEN(O899)+LEN(P899)+LEN(Q899)+LEN(R899)+LEN(S899)+LEN(T899))=0,"",IF(OR(A899="",B899="",C899="",D899="",E899="",J899="",K899="",N899=""),"⚠ Champ obligatoire manquant",IF(AND(ISNUMBER(K899),ISNUMBER(J899),N(K899)&gt;N(J899)),"⚠ Prix Autopiec &gt; prix public",IF(COUNTIFS($A$2:$A$1001,A899,$B$2:$B$1001,B899)&gt;1,"⚠ Référence en double","✔ OK"))))</f>
        <v/>
      </c>
    </row>
    <row r="900" customFormat="false" ht="15" hidden="false" customHeight="false" outlineLevel="0" collapsed="false">
      <c r="A900" s="11"/>
      <c r="B900" s="27"/>
      <c r="C900" s="11"/>
      <c r="D900" s="11"/>
      <c r="E900" s="11"/>
      <c r="F900" s="27"/>
      <c r="G900" s="27"/>
      <c r="H900" s="11"/>
      <c r="I900" s="11"/>
      <c r="J900" s="12"/>
      <c r="K900" s="12"/>
      <c r="L900" s="28" t="str">
        <f aca="false">IF(AND(ISNUMBER(J900),ISNUMBER(K900),N(J900)&gt;0),1-K900/J900,"")</f>
        <v/>
      </c>
      <c r="M900" s="29"/>
      <c r="N900" s="30"/>
      <c r="O900" s="30"/>
      <c r="P900" s="11"/>
      <c r="Q900" s="31"/>
      <c r="R900" s="11"/>
      <c r="S900" s="11"/>
      <c r="T900" s="11"/>
      <c r="U900" s="32" t="str">
        <f aca="false">IF((LEN(A900)+LEN(B900)+LEN(C900)+LEN(D900)+LEN(E900)+LEN(F900)+LEN(G900)+LEN(H900)+LEN(I900)+LEN(J900)+LEN(K900)+LEN(M900)+LEN(N900)+LEN(O900)+LEN(P900)+LEN(Q900)+LEN(R900)+LEN(S900)+LEN(T900))=0,"",IF(OR(A900="",B900="",C900="",D900="",E900="",J900="",K900="",N900=""),"⚠ Champ obligatoire manquant",IF(AND(ISNUMBER(K900),ISNUMBER(J900),N(K900)&gt;N(J900)),"⚠ Prix Autopiec &gt; prix public",IF(COUNTIFS($A$2:$A$1001,A900,$B$2:$B$1001,B900)&gt;1,"⚠ Référence en double","✔ OK"))))</f>
        <v/>
      </c>
    </row>
    <row r="901" customFormat="false" ht="15" hidden="false" customHeight="false" outlineLevel="0" collapsed="false">
      <c r="A901" s="11"/>
      <c r="B901" s="27"/>
      <c r="C901" s="11"/>
      <c r="D901" s="11"/>
      <c r="E901" s="11"/>
      <c r="F901" s="27"/>
      <c r="G901" s="27"/>
      <c r="H901" s="11"/>
      <c r="I901" s="11"/>
      <c r="J901" s="12"/>
      <c r="K901" s="12"/>
      <c r="L901" s="28" t="str">
        <f aca="false">IF(AND(ISNUMBER(J901),ISNUMBER(K901),N(J901)&gt;0),1-K901/J901,"")</f>
        <v/>
      </c>
      <c r="M901" s="29"/>
      <c r="N901" s="30"/>
      <c r="O901" s="30"/>
      <c r="P901" s="11"/>
      <c r="Q901" s="31"/>
      <c r="R901" s="11"/>
      <c r="S901" s="11"/>
      <c r="T901" s="11"/>
      <c r="U901" s="32" t="str">
        <f aca="false">IF((LEN(A901)+LEN(B901)+LEN(C901)+LEN(D901)+LEN(E901)+LEN(F901)+LEN(G901)+LEN(H901)+LEN(I901)+LEN(J901)+LEN(K901)+LEN(M901)+LEN(N901)+LEN(O901)+LEN(P901)+LEN(Q901)+LEN(R901)+LEN(S901)+LEN(T901))=0,"",IF(OR(A901="",B901="",C901="",D901="",E901="",J901="",K901="",N901=""),"⚠ Champ obligatoire manquant",IF(AND(ISNUMBER(K901),ISNUMBER(J901),N(K901)&gt;N(J901)),"⚠ Prix Autopiec &gt; prix public",IF(COUNTIFS($A$2:$A$1001,A901,$B$2:$B$1001,B901)&gt;1,"⚠ Référence en double","✔ OK"))))</f>
        <v/>
      </c>
    </row>
    <row r="902" customFormat="false" ht="15" hidden="false" customHeight="false" outlineLevel="0" collapsed="false">
      <c r="A902" s="11"/>
      <c r="B902" s="27"/>
      <c r="C902" s="11"/>
      <c r="D902" s="11"/>
      <c r="E902" s="11"/>
      <c r="F902" s="27"/>
      <c r="G902" s="27"/>
      <c r="H902" s="11"/>
      <c r="I902" s="11"/>
      <c r="J902" s="12"/>
      <c r="K902" s="12"/>
      <c r="L902" s="28" t="str">
        <f aca="false">IF(AND(ISNUMBER(J902),ISNUMBER(K902),N(J902)&gt;0),1-K902/J902,"")</f>
        <v/>
      </c>
      <c r="M902" s="29"/>
      <c r="N902" s="30"/>
      <c r="O902" s="30"/>
      <c r="P902" s="11"/>
      <c r="Q902" s="31"/>
      <c r="R902" s="11"/>
      <c r="S902" s="11"/>
      <c r="T902" s="11"/>
      <c r="U902" s="32" t="str">
        <f aca="false">IF((LEN(A902)+LEN(B902)+LEN(C902)+LEN(D902)+LEN(E902)+LEN(F902)+LEN(G902)+LEN(H902)+LEN(I902)+LEN(J902)+LEN(K902)+LEN(M902)+LEN(N902)+LEN(O902)+LEN(P902)+LEN(Q902)+LEN(R902)+LEN(S902)+LEN(T902))=0,"",IF(OR(A902="",B902="",C902="",D902="",E902="",J902="",K902="",N902=""),"⚠ Champ obligatoire manquant",IF(AND(ISNUMBER(K902),ISNUMBER(J902),N(K902)&gt;N(J902)),"⚠ Prix Autopiec &gt; prix public",IF(COUNTIFS($A$2:$A$1001,A902,$B$2:$B$1001,B902)&gt;1,"⚠ Référence en double","✔ OK"))))</f>
        <v/>
      </c>
    </row>
    <row r="903" customFormat="false" ht="15" hidden="false" customHeight="false" outlineLevel="0" collapsed="false">
      <c r="A903" s="11"/>
      <c r="B903" s="27"/>
      <c r="C903" s="11"/>
      <c r="D903" s="11"/>
      <c r="E903" s="11"/>
      <c r="F903" s="27"/>
      <c r="G903" s="27"/>
      <c r="H903" s="11"/>
      <c r="I903" s="11"/>
      <c r="J903" s="12"/>
      <c r="K903" s="12"/>
      <c r="L903" s="28" t="str">
        <f aca="false">IF(AND(ISNUMBER(J903),ISNUMBER(K903),N(J903)&gt;0),1-K903/J903,"")</f>
        <v/>
      </c>
      <c r="M903" s="29"/>
      <c r="N903" s="30"/>
      <c r="O903" s="30"/>
      <c r="P903" s="11"/>
      <c r="Q903" s="31"/>
      <c r="R903" s="11"/>
      <c r="S903" s="11"/>
      <c r="T903" s="11"/>
      <c r="U903" s="32" t="str">
        <f aca="false">IF((LEN(A903)+LEN(B903)+LEN(C903)+LEN(D903)+LEN(E903)+LEN(F903)+LEN(G903)+LEN(H903)+LEN(I903)+LEN(J903)+LEN(K903)+LEN(M903)+LEN(N903)+LEN(O903)+LEN(P903)+LEN(Q903)+LEN(R903)+LEN(S903)+LEN(T903))=0,"",IF(OR(A903="",B903="",C903="",D903="",E903="",J903="",K903="",N903=""),"⚠ Champ obligatoire manquant",IF(AND(ISNUMBER(K903),ISNUMBER(J903),N(K903)&gt;N(J903)),"⚠ Prix Autopiec &gt; prix public",IF(COUNTIFS($A$2:$A$1001,A903,$B$2:$B$1001,B903)&gt;1,"⚠ Référence en double","✔ OK"))))</f>
        <v/>
      </c>
    </row>
    <row r="904" customFormat="false" ht="15" hidden="false" customHeight="false" outlineLevel="0" collapsed="false">
      <c r="A904" s="11"/>
      <c r="B904" s="27"/>
      <c r="C904" s="11"/>
      <c r="D904" s="11"/>
      <c r="E904" s="11"/>
      <c r="F904" s="27"/>
      <c r="G904" s="27"/>
      <c r="H904" s="11"/>
      <c r="I904" s="11"/>
      <c r="J904" s="12"/>
      <c r="K904" s="12"/>
      <c r="L904" s="28" t="str">
        <f aca="false">IF(AND(ISNUMBER(J904),ISNUMBER(K904),N(J904)&gt;0),1-K904/J904,"")</f>
        <v/>
      </c>
      <c r="M904" s="29"/>
      <c r="N904" s="30"/>
      <c r="O904" s="30"/>
      <c r="P904" s="11"/>
      <c r="Q904" s="31"/>
      <c r="R904" s="11"/>
      <c r="S904" s="11"/>
      <c r="T904" s="11"/>
      <c r="U904" s="32" t="str">
        <f aca="false">IF((LEN(A904)+LEN(B904)+LEN(C904)+LEN(D904)+LEN(E904)+LEN(F904)+LEN(G904)+LEN(H904)+LEN(I904)+LEN(J904)+LEN(K904)+LEN(M904)+LEN(N904)+LEN(O904)+LEN(P904)+LEN(Q904)+LEN(R904)+LEN(S904)+LEN(T904))=0,"",IF(OR(A904="",B904="",C904="",D904="",E904="",J904="",K904="",N904=""),"⚠ Champ obligatoire manquant",IF(AND(ISNUMBER(K904),ISNUMBER(J904),N(K904)&gt;N(J904)),"⚠ Prix Autopiec &gt; prix public",IF(COUNTIFS($A$2:$A$1001,A904,$B$2:$B$1001,B904)&gt;1,"⚠ Référence en double","✔ OK"))))</f>
        <v/>
      </c>
    </row>
    <row r="905" customFormat="false" ht="15" hidden="false" customHeight="false" outlineLevel="0" collapsed="false">
      <c r="A905" s="11"/>
      <c r="B905" s="27"/>
      <c r="C905" s="11"/>
      <c r="D905" s="11"/>
      <c r="E905" s="11"/>
      <c r="F905" s="27"/>
      <c r="G905" s="27"/>
      <c r="H905" s="11"/>
      <c r="I905" s="11"/>
      <c r="J905" s="12"/>
      <c r="K905" s="12"/>
      <c r="L905" s="28" t="str">
        <f aca="false">IF(AND(ISNUMBER(J905),ISNUMBER(K905),N(J905)&gt;0),1-K905/J905,"")</f>
        <v/>
      </c>
      <c r="M905" s="29"/>
      <c r="N905" s="30"/>
      <c r="O905" s="30"/>
      <c r="P905" s="11"/>
      <c r="Q905" s="31"/>
      <c r="R905" s="11"/>
      <c r="S905" s="11"/>
      <c r="T905" s="11"/>
      <c r="U905" s="32" t="str">
        <f aca="false">IF((LEN(A905)+LEN(B905)+LEN(C905)+LEN(D905)+LEN(E905)+LEN(F905)+LEN(G905)+LEN(H905)+LEN(I905)+LEN(J905)+LEN(K905)+LEN(M905)+LEN(N905)+LEN(O905)+LEN(P905)+LEN(Q905)+LEN(R905)+LEN(S905)+LEN(T905))=0,"",IF(OR(A905="",B905="",C905="",D905="",E905="",J905="",K905="",N905=""),"⚠ Champ obligatoire manquant",IF(AND(ISNUMBER(K905),ISNUMBER(J905),N(K905)&gt;N(J905)),"⚠ Prix Autopiec &gt; prix public",IF(COUNTIFS($A$2:$A$1001,A905,$B$2:$B$1001,B905)&gt;1,"⚠ Référence en double","✔ OK"))))</f>
        <v/>
      </c>
    </row>
    <row r="906" customFormat="false" ht="15" hidden="false" customHeight="false" outlineLevel="0" collapsed="false">
      <c r="A906" s="11"/>
      <c r="B906" s="27"/>
      <c r="C906" s="11"/>
      <c r="D906" s="11"/>
      <c r="E906" s="11"/>
      <c r="F906" s="27"/>
      <c r="G906" s="27"/>
      <c r="H906" s="11"/>
      <c r="I906" s="11"/>
      <c r="J906" s="12"/>
      <c r="K906" s="12"/>
      <c r="L906" s="28" t="str">
        <f aca="false">IF(AND(ISNUMBER(J906),ISNUMBER(K906),N(J906)&gt;0),1-K906/J906,"")</f>
        <v/>
      </c>
      <c r="M906" s="29"/>
      <c r="N906" s="30"/>
      <c r="O906" s="30"/>
      <c r="P906" s="11"/>
      <c r="Q906" s="31"/>
      <c r="R906" s="11"/>
      <c r="S906" s="11"/>
      <c r="T906" s="11"/>
      <c r="U906" s="32" t="str">
        <f aca="false">IF((LEN(A906)+LEN(B906)+LEN(C906)+LEN(D906)+LEN(E906)+LEN(F906)+LEN(G906)+LEN(H906)+LEN(I906)+LEN(J906)+LEN(K906)+LEN(M906)+LEN(N906)+LEN(O906)+LEN(P906)+LEN(Q906)+LEN(R906)+LEN(S906)+LEN(T906))=0,"",IF(OR(A906="",B906="",C906="",D906="",E906="",J906="",K906="",N906=""),"⚠ Champ obligatoire manquant",IF(AND(ISNUMBER(K906),ISNUMBER(J906),N(K906)&gt;N(J906)),"⚠ Prix Autopiec &gt; prix public",IF(COUNTIFS($A$2:$A$1001,A906,$B$2:$B$1001,B906)&gt;1,"⚠ Référence en double","✔ OK"))))</f>
        <v/>
      </c>
    </row>
    <row r="907" customFormat="false" ht="15" hidden="false" customHeight="false" outlineLevel="0" collapsed="false">
      <c r="A907" s="11"/>
      <c r="B907" s="27"/>
      <c r="C907" s="11"/>
      <c r="D907" s="11"/>
      <c r="E907" s="11"/>
      <c r="F907" s="27"/>
      <c r="G907" s="27"/>
      <c r="H907" s="11"/>
      <c r="I907" s="11"/>
      <c r="J907" s="12"/>
      <c r="K907" s="12"/>
      <c r="L907" s="28" t="str">
        <f aca="false">IF(AND(ISNUMBER(J907),ISNUMBER(K907),N(J907)&gt;0),1-K907/J907,"")</f>
        <v/>
      </c>
      <c r="M907" s="29"/>
      <c r="N907" s="30"/>
      <c r="O907" s="30"/>
      <c r="P907" s="11"/>
      <c r="Q907" s="31"/>
      <c r="R907" s="11"/>
      <c r="S907" s="11"/>
      <c r="T907" s="11"/>
      <c r="U907" s="32" t="str">
        <f aca="false">IF((LEN(A907)+LEN(B907)+LEN(C907)+LEN(D907)+LEN(E907)+LEN(F907)+LEN(G907)+LEN(H907)+LEN(I907)+LEN(J907)+LEN(K907)+LEN(M907)+LEN(N907)+LEN(O907)+LEN(P907)+LEN(Q907)+LEN(R907)+LEN(S907)+LEN(T907))=0,"",IF(OR(A907="",B907="",C907="",D907="",E907="",J907="",K907="",N907=""),"⚠ Champ obligatoire manquant",IF(AND(ISNUMBER(K907),ISNUMBER(J907),N(K907)&gt;N(J907)),"⚠ Prix Autopiec &gt; prix public",IF(COUNTIFS($A$2:$A$1001,A907,$B$2:$B$1001,B907)&gt;1,"⚠ Référence en double","✔ OK"))))</f>
        <v/>
      </c>
    </row>
    <row r="908" customFormat="false" ht="15" hidden="false" customHeight="false" outlineLevel="0" collapsed="false">
      <c r="A908" s="11"/>
      <c r="B908" s="27"/>
      <c r="C908" s="11"/>
      <c r="D908" s="11"/>
      <c r="E908" s="11"/>
      <c r="F908" s="27"/>
      <c r="G908" s="27"/>
      <c r="H908" s="11"/>
      <c r="I908" s="11"/>
      <c r="J908" s="12"/>
      <c r="K908" s="12"/>
      <c r="L908" s="28" t="str">
        <f aca="false">IF(AND(ISNUMBER(J908),ISNUMBER(K908),N(J908)&gt;0),1-K908/J908,"")</f>
        <v/>
      </c>
      <c r="M908" s="29"/>
      <c r="N908" s="30"/>
      <c r="O908" s="30"/>
      <c r="P908" s="11"/>
      <c r="Q908" s="31"/>
      <c r="R908" s="11"/>
      <c r="S908" s="11"/>
      <c r="T908" s="11"/>
      <c r="U908" s="32" t="str">
        <f aca="false">IF((LEN(A908)+LEN(B908)+LEN(C908)+LEN(D908)+LEN(E908)+LEN(F908)+LEN(G908)+LEN(H908)+LEN(I908)+LEN(J908)+LEN(K908)+LEN(M908)+LEN(N908)+LEN(O908)+LEN(P908)+LEN(Q908)+LEN(R908)+LEN(S908)+LEN(T908))=0,"",IF(OR(A908="",B908="",C908="",D908="",E908="",J908="",K908="",N908=""),"⚠ Champ obligatoire manquant",IF(AND(ISNUMBER(K908),ISNUMBER(J908),N(K908)&gt;N(J908)),"⚠ Prix Autopiec &gt; prix public",IF(COUNTIFS($A$2:$A$1001,A908,$B$2:$B$1001,B908)&gt;1,"⚠ Référence en double","✔ OK"))))</f>
        <v/>
      </c>
    </row>
    <row r="909" customFormat="false" ht="15" hidden="false" customHeight="false" outlineLevel="0" collapsed="false">
      <c r="A909" s="11"/>
      <c r="B909" s="27"/>
      <c r="C909" s="11"/>
      <c r="D909" s="11"/>
      <c r="E909" s="11"/>
      <c r="F909" s="27"/>
      <c r="G909" s="27"/>
      <c r="H909" s="11"/>
      <c r="I909" s="11"/>
      <c r="J909" s="12"/>
      <c r="K909" s="12"/>
      <c r="L909" s="28" t="str">
        <f aca="false">IF(AND(ISNUMBER(J909),ISNUMBER(K909),N(J909)&gt;0),1-K909/J909,"")</f>
        <v/>
      </c>
      <c r="M909" s="29"/>
      <c r="N909" s="30"/>
      <c r="O909" s="30"/>
      <c r="P909" s="11"/>
      <c r="Q909" s="31"/>
      <c r="R909" s="11"/>
      <c r="S909" s="11"/>
      <c r="T909" s="11"/>
      <c r="U909" s="32" t="str">
        <f aca="false">IF((LEN(A909)+LEN(B909)+LEN(C909)+LEN(D909)+LEN(E909)+LEN(F909)+LEN(G909)+LEN(H909)+LEN(I909)+LEN(J909)+LEN(K909)+LEN(M909)+LEN(N909)+LEN(O909)+LEN(P909)+LEN(Q909)+LEN(R909)+LEN(S909)+LEN(T909))=0,"",IF(OR(A909="",B909="",C909="",D909="",E909="",J909="",K909="",N909=""),"⚠ Champ obligatoire manquant",IF(AND(ISNUMBER(K909),ISNUMBER(J909),N(K909)&gt;N(J909)),"⚠ Prix Autopiec &gt; prix public",IF(COUNTIFS($A$2:$A$1001,A909,$B$2:$B$1001,B909)&gt;1,"⚠ Référence en double","✔ OK"))))</f>
        <v/>
      </c>
    </row>
    <row r="910" customFormat="false" ht="15" hidden="false" customHeight="false" outlineLevel="0" collapsed="false">
      <c r="A910" s="11"/>
      <c r="B910" s="27"/>
      <c r="C910" s="11"/>
      <c r="D910" s="11"/>
      <c r="E910" s="11"/>
      <c r="F910" s="27"/>
      <c r="G910" s="27"/>
      <c r="H910" s="11"/>
      <c r="I910" s="11"/>
      <c r="J910" s="12"/>
      <c r="K910" s="12"/>
      <c r="L910" s="28" t="str">
        <f aca="false">IF(AND(ISNUMBER(J910),ISNUMBER(K910),N(J910)&gt;0),1-K910/J910,"")</f>
        <v/>
      </c>
      <c r="M910" s="29"/>
      <c r="N910" s="30"/>
      <c r="O910" s="30"/>
      <c r="P910" s="11"/>
      <c r="Q910" s="31"/>
      <c r="R910" s="11"/>
      <c r="S910" s="11"/>
      <c r="T910" s="11"/>
      <c r="U910" s="32" t="str">
        <f aca="false">IF((LEN(A910)+LEN(B910)+LEN(C910)+LEN(D910)+LEN(E910)+LEN(F910)+LEN(G910)+LEN(H910)+LEN(I910)+LEN(J910)+LEN(K910)+LEN(M910)+LEN(N910)+LEN(O910)+LEN(P910)+LEN(Q910)+LEN(R910)+LEN(S910)+LEN(T910))=0,"",IF(OR(A910="",B910="",C910="",D910="",E910="",J910="",K910="",N910=""),"⚠ Champ obligatoire manquant",IF(AND(ISNUMBER(K910),ISNUMBER(J910),N(K910)&gt;N(J910)),"⚠ Prix Autopiec &gt; prix public",IF(COUNTIFS($A$2:$A$1001,A910,$B$2:$B$1001,B910)&gt;1,"⚠ Référence en double","✔ OK"))))</f>
        <v/>
      </c>
    </row>
    <row r="911" customFormat="false" ht="15" hidden="false" customHeight="false" outlineLevel="0" collapsed="false">
      <c r="A911" s="11"/>
      <c r="B911" s="27"/>
      <c r="C911" s="11"/>
      <c r="D911" s="11"/>
      <c r="E911" s="11"/>
      <c r="F911" s="27"/>
      <c r="G911" s="27"/>
      <c r="H911" s="11"/>
      <c r="I911" s="11"/>
      <c r="J911" s="12"/>
      <c r="K911" s="12"/>
      <c r="L911" s="28" t="str">
        <f aca="false">IF(AND(ISNUMBER(J911),ISNUMBER(K911),N(J911)&gt;0),1-K911/J911,"")</f>
        <v/>
      </c>
      <c r="M911" s="29"/>
      <c r="N911" s="30"/>
      <c r="O911" s="30"/>
      <c r="P911" s="11"/>
      <c r="Q911" s="31"/>
      <c r="R911" s="11"/>
      <c r="S911" s="11"/>
      <c r="T911" s="11"/>
      <c r="U911" s="32" t="str">
        <f aca="false">IF((LEN(A911)+LEN(B911)+LEN(C911)+LEN(D911)+LEN(E911)+LEN(F911)+LEN(G911)+LEN(H911)+LEN(I911)+LEN(J911)+LEN(K911)+LEN(M911)+LEN(N911)+LEN(O911)+LEN(P911)+LEN(Q911)+LEN(R911)+LEN(S911)+LEN(T911))=0,"",IF(OR(A911="",B911="",C911="",D911="",E911="",J911="",K911="",N911=""),"⚠ Champ obligatoire manquant",IF(AND(ISNUMBER(K911),ISNUMBER(J911),N(K911)&gt;N(J911)),"⚠ Prix Autopiec &gt; prix public",IF(COUNTIFS($A$2:$A$1001,A911,$B$2:$B$1001,B911)&gt;1,"⚠ Référence en double","✔ OK"))))</f>
        <v/>
      </c>
    </row>
    <row r="912" customFormat="false" ht="15" hidden="false" customHeight="false" outlineLevel="0" collapsed="false">
      <c r="A912" s="11"/>
      <c r="B912" s="27"/>
      <c r="C912" s="11"/>
      <c r="D912" s="11"/>
      <c r="E912" s="11"/>
      <c r="F912" s="27"/>
      <c r="G912" s="27"/>
      <c r="H912" s="11"/>
      <c r="I912" s="11"/>
      <c r="J912" s="12"/>
      <c r="K912" s="12"/>
      <c r="L912" s="28" t="str">
        <f aca="false">IF(AND(ISNUMBER(J912),ISNUMBER(K912),N(J912)&gt;0),1-K912/J912,"")</f>
        <v/>
      </c>
      <c r="M912" s="29"/>
      <c r="N912" s="30"/>
      <c r="O912" s="30"/>
      <c r="P912" s="11"/>
      <c r="Q912" s="31"/>
      <c r="R912" s="11"/>
      <c r="S912" s="11"/>
      <c r="T912" s="11"/>
      <c r="U912" s="32" t="str">
        <f aca="false">IF((LEN(A912)+LEN(B912)+LEN(C912)+LEN(D912)+LEN(E912)+LEN(F912)+LEN(G912)+LEN(H912)+LEN(I912)+LEN(J912)+LEN(K912)+LEN(M912)+LEN(N912)+LEN(O912)+LEN(P912)+LEN(Q912)+LEN(R912)+LEN(S912)+LEN(T912))=0,"",IF(OR(A912="",B912="",C912="",D912="",E912="",J912="",K912="",N912=""),"⚠ Champ obligatoire manquant",IF(AND(ISNUMBER(K912),ISNUMBER(J912),N(K912)&gt;N(J912)),"⚠ Prix Autopiec &gt; prix public",IF(COUNTIFS($A$2:$A$1001,A912,$B$2:$B$1001,B912)&gt;1,"⚠ Référence en double","✔ OK"))))</f>
        <v/>
      </c>
    </row>
    <row r="913" customFormat="false" ht="15" hidden="false" customHeight="false" outlineLevel="0" collapsed="false">
      <c r="A913" s="11"/>
      <c r="B913" s="27"/>
      <c r="C913" s="11"/>
      <c r="D913" s="11"/>
      <c r="E913" s="11"/>
      <c r="F913" s="27"/>
      <c r="G913" s="27"/>
      <c r="H913" s="11"/>
      <c r="I913" s="11"/>
      <c r="J913" s="12"/>
      <c r="K913" s="12"/>
      <c r="L913" s="28" t="str">
        <f aca="false">IF(AND(ISNUMBER(J913),ISNUMBER(K913),N(J913)&gt;0),1-K913/J913,"")</f>
        <v/>
      </c>
      <c r="M913" s="29"/>
      <c r="N913" s="30"/>
      <c r="O913" s="30"/>
      <c r="P913" s="11"/>
      <c r="Q913" s="31"/>
      <c r="R913" s="11"/>
      <c r="S913" s="11"/>
      <c r="T913" s="11"/>
      <c r="U913" s="32" t="str">
        <f aca="false">IF((LEN(A913)+LEN(B913)+LEN(C913)+LEN(D913)+LEN(E913)+LEN(F913)+LEN(G913)+LEN(H913)+LEN(I913)+LEN(J913)+LEN(K913)+LEN(M913)+LEN(N913)+LEN(O913)+LEN(P913)+LEN(Q913)+LEN(R913)+LEN(S913)+LEN(T913))=0,"",IF(OR(A913="",B913="",C913="",D913="",E913="",J913="",K913="",N913=""),"⚠ Champ obligatoire manquant",IF(AND(ISNUMBER(K913),ISNUMBER(J913),N(K913)&gt;N(J913)),"⚠ Prix Autopiec &gt; prix public",IF(COUNTIFS($A$2:$A$1001,A913,$B$2:$B$1001,B913)&gt;1,"⚠ Référence en double","✔ OK"))))</f>
        <v/>
      </c>
    </row>
    <row r="914" customFormat="false" ht="15" hidden="false" customHeight="false" outlineLevel="0" collapsed="false">
      <c r="A914" s="11"/>
      <c r="B914" s="27"/>
      <c r="C914" s="11"/>
      <c r="D914" s="11"/>
      <c r="E914" s="11"/>
      <c r="F914" s="27"/>
      <c r="G914" s="27"/>
      <c r="H914" s="11"/>
      <c r="I914" s="11"/>
      <c r="J914" s="12"/>
      <c r="K914" s="12"/>
      <c r="L914" s="28" t="str">
        <f aca="false">IF(AND(ISNUMBER(J914),ISNUMBER(K914),N(J914)&gt;0),1-K914/J914,"")</f>
        <v/>
      </c>
      <c r="M914" s="29"/>
      <c r="N914" s="30"/>
      <c r="O914" s="30"/>
      <c r="P914" s="11"/>
      <c r="Q914" s="31"/>
      <c r="R914" s="11"/>
      <c r="S914" s="11"/>
      <c r="T914" s="11"/>
      <c r="U914" s="32" t="str">
        <f aca="false">IF((LEN(A914)+LEN(B914)+LEN(C914)+LEN(D914)+LEN(E914)+LEN(F914)+LEN(G914)+LEN(H914)+LEN(I914)+LEN(J914)+LEN(K914)+LEN(M914)+LEN(N914)+LEN(O914)+LEN(P914)+LEN(Q914)+LEN(R914)+LEN(S914)+LEN(T914))=0,"",IF(OR(A914="",B914="",C914="",D914="",E914="",J914="",K914="",N914=""),"⚠ Champ obligatoire manquant",IF(AND(ISNUMBER(K914),ISNUMBER(J914),N(K914)&gt;N(J914)),"⚠ Prix Autopiec &gt; prix public",IF(COUNTIFS($A$2:$A$1001,A914,$B$2:$B$1001,B914)&gt;1,"⚠ Référence en double","✔ OK"))))</f>
        <v/>
      </c>
    </row>
    <row r="915" customFormat="false" ht="15" hidden="false" customHeight="false" outlineLevel="0" collapsed="false">
      <c r="A915" s="11"/>
      <c r="B915" s="27"/>
      <c r="C915" s="11"/>
      <c r="D915" s="11"/>
      <c r="E915" s="11"/>
      <c r="F915" s="27"/>
      <c r="G915" s="27"/>
      <c r="H915" s="11"/>
      <c r="I915" s="11"/>
      <c r="J915" s="12"/>
      <c r="K915" s="12"/>
      <c r="L915" s="28" t="str">
        <f aca="false">IF(AND(ISNUMBER(J915),ISNUMBER(K915),N(J915)&gt;0),1-K915/J915,"")</f>
        <v/>
      </c>
      <c r="M915" s="29"/>
      <c r="N915" s="30"/>
      <c r="O915" s="30"/>
      <c r="P915" s="11"/>
      <c r="Q915" s="31"/>
      <c r="R915" s="11"/>
      <c r="S915" s="11"/>
      <c r="T915" s="11"/>
      <c r="U915" s="32" t="str">
        <f aca="false">IF((LEN(A915)+LEN(B915)+LEN(C915)+LEN(D915)+LEN(E915)+LEN(F915)+LEN(G915)+LEN(H915)+LEN(I915)+LEN(J915)+LEN(K915)+LEN(M915)+LEN(N915)+LEN(O915)+LEN(P915)+LEN(Q915)+LEN(R915)+LEN(S915)+LEN(T915))=0,"",IF(OR(A915="",B915="",C915="",D915="",E915="",J915="",K915="",N915=""),"⚠ Champ obligatoire manquant",IF(AND(ISNUMBER(K915),ISNUMBER(J915),N(K915)&gt;N(J915)),"⚠ Prix Autopiec &gt; prix public",IF(COUNTIFS($A$2:$A$1001,A915,$B$2:$B$1001,B915)&gt;1,"⚠ Référence en double","✔ OK"))))</f>
        <v/>
      </c>
    </row>
    <row r="916" customFormat="false" ht="15" hidden="false" customHeight="false" outlineLevel="0" collapsed="false">
      <c r="A916" s="11"/>
      <c r="B916" s="27"/>
      <c r="C916" s="11"/>
      <c r="D916" s="11"/>
      <c r="E916" s="11"/>
      <c r="F916" s="27"/>
      <c r="G916" s="27"/>
      <c r="H916" s="11"/>
      <c r="I916" s="11"/>
      <c r="J916" s="12"/>
      <c r="K916" s="12"/>
      <c r="L916" s="28" t="str">
        <f aca="false">IF(AND(ISNUMBER(J916),ISNUMBER(K916),N(J916)&gt;0),1-K916/J916,"")</f>
        <v/>
      </c>
      <c r="M916" s="29"/>
      <c r="N916" s="30"/>
      <c r="O916" s="30"/>
      <c r="P916" s="11"/>
      <c r="Q916" s="31"/>
      <c r="R916" s="11"/>
      <c r="S916" s="11"/>
      <c r="T916" s="11"/>
      <c r="U916" s="32" t="str">
        <f aca="false">IF((LEN(A916)+LEN(B916)+LEN(C916)+LEN(D916)+LEN(E916)+LEN(F916)+LEN(G916)+LEN(H916)+LEN(I916)+LEN(J916)+LEN(K916)+LEN(M916)+LEN(N916)+LEN(O916)+LEN(P916)+LEN(Q916)+LEN(R916)+LEN(S916)+LEN(T916))=0,"",IF(OR(A916="",B916="",C916="",D916="",E916="",J916="",K916="",N916=""),"⚠ Champ obligatoire manquant",IF(AND(ISNUMBER(K916),ISNUMBER(J916),N(K916)&gt;N(J916)),"⚠ Prix Autopiec &gt; prix public",IF(COUNTIFS($A$2:$A$1001,A916,$B$2:$B$1001,B916)&gt;1,"⚠ Référence en double","✔ OK"))))</f>
        <v/>
      </c>
    </row>
    <row r="917" customFormat="false" ht="15" hidden="false" customHeight="false" outlineLevel="0" collapsed="false">
      <c r="A917" s="11"/>
      <c r="B917" s="27"/>
      <c r="C917" s="11"/>
      <c r="D917" s="11"/>
      <c r="E917" s="11"/>
      <c r="F917" s="27"/>
      <c r="G917" s="27"/>
      <c r="H917" s="11"/>
      <c r="I917" s="11"/>
      <c r="J917" s="12"/>
      <c r="K917" s="12"/>
      <c r="L917" s="28" t="str">
        <f aca="false">IF(AND(ISNUMBER(J917),ISNUMBER(K917),N(J917)&gt;0),1-K917/J917,"")</f>
        <v/>
      </c>
      <c r="M917" s="29"/>
      <c r="N917" s="30"/>
      <c r="O917" s="30"/>
      <c r="P917" s="11"/>
      <c r="Q917" s="31"/>
      <c r="R917" s="11"/>
      <c r="S917" s="11"/>
      <c r="T917" s="11"/>
      <c r="U917" s="32" t="str">
        <f aca="false">IF((LEN(A917)+LEN(B917)+LEN(C917)+LEN(D917)+LEN(E917)+LEN(F917)+LEN(G917)+LEN(H917)+LEN(I917)+LEN(J917)+LEN(K917)+LEN(M917)+LEN(N917)+LEN(O917)+LEN(P917)+LEN(Q917)+LEN(R917)+LEN(S917)+LEN(T917))=0,"",IF(OR(A917="",B917="",C917="",D917="",E917="",J917="",K917="",N917=""),"⚠ Champ obligatoire manquant",IF(AND(ISNUMBER(K917),ISNUMBER(J917),N(K917)&gt;N(J917)),"⚠ Prix Autopiec &gt; prix public",IF(COUNTIFS($A$2:$A$1001,A917,$B$2:$B$1001,B917)&gt;1,"⚠ Référence en double","✔ OK"))))</f>
        <v/>
      </c>
    </row>
    <row r="918" customFormat="false" ht="15" hidden="false" customHeight="false" outlineLevel="0" collapsed="false">
      <c r="A918" s="11"/>
      <c r="B918" s="27"/>
      <c r="C918" s="11"/>
      <c r="D918" s="11"/>
      <c r="E918" s="11"/>
      <c r="F918" s="27"/>
      <c r="G918" s="27"/>
      <c r="H918" s="11"/>
      <c r="I918" s="11"/>
      <c r="J918" s="12"/>
      <c r="K918" s="12"/>
      <c r="L918" s="28" t="str">
        <f aca="false">IF(AND(ISNUMBER(J918),ISNUMBER(K918),N(J918)&gt;0),1-K918/J918,"")</f>
        <v/>
      </c>
      <c r="M918" s="29"/>
      <c r="N918" s="30"/>
      <c r="O918" s="30"/>
      <c r="P918" s="11"/>
      <c r="Q918" s="31"/>
      <c r="R918" s="11"/>
      <c r="S918" s="11"/>
      <c r="T918" s="11"/>
      <c r="U918" s="32" t="str">
        <f aca="false">IF((LEN(A918)+LEN(B918)+LEN(C918)+LEN(D918)+LEN(E918)+LEN(F918)+LEN(G918)+LEN(H918)+LEN(I918)+LEN(J918)+LEN(K918)+LEN(M918)+LEN(N918)+LEN(O918)+LEN(P918)+LEN(Q918)+LEN(R918)+LEN(S918)+LEN(T918))=0,"",IF(OR(A918="",B918="",C918="",D918="",E918="",J918="",K918="",N918=""),"⚠ Champ obligatoire manquant",IF(AND(ISNUMBER(K918),ISNUMBER(J918),N(K918)&gt;N(J918)),"⚠ Prix Autopiec &gt; prix public",IF(COUNTIFS($A$2:$A$1001,A918,$B$2:$B$1001,B918)&gt;1,"⚠ Référence en double","✔ OK"))))</f>
        <v/>
      </c>
    </row>
    <row r="919" customFormat="false" ht="15" hidden="false" customHeight="false" outlineLevel="0" collapsed="false">
      <c r="A919" s="11"/>
      <c r="B919" s="27"/>
      <c r="C919" s="11"/>
      <c r="D919" s="11"/>
      <c r="E919" s="11"/>
      <c r="F919" s="27"/>
      <c r="G919" s="27"/>
      <c r="H919" s="11"/>
      <c r="I919" s="11"/>
      <c r="J919" s="12"/>
      <c r="K919" s="12"/>
      <c r="L919" s="28" t="str">
        <f aca="false">IF(AND(ISNUMBER(J919),ISNUMBER(K919),N(J919)&gt;0),1-K919/J919,"")</f>
        <v/>
      </c>
      <c r="M919" s="29"/>
      <c r="N919" s="30"/>
      <c r="O919" s="30"/>
      <c r="P919" s="11"/>
      <c r="Q919" s="31"/>
      <c r="R919" s="11"/>
      <c r="S919" s="11"/>
      <c r="T919" s="11"/>
      <c r="U919" s="32" t="str">
        <f aca="false">IF((LEN(A919)+LEN(B919)+LEN(C919)+LEN(D919)+LEN(E919)+LEN(F919)+LEN(G919)+LEN(H919)+LEN(I919)+LEN(J919)+LEN(K919)+LEN(M919)+LEN(N919)+LEN(O919)+LEN(P919)+LEN(Q919)+LEN(R919)+LEN(S919)+LEN(T919))=0,"",IF(OR(A919="",B919="",C919="",D919="",E919="",J919="",K919="",N919=""),"⚠ Champ obligatoire manquant",IF(AND(ISNUMBER(K919),ISNUMBER(J919),N(K919)&gt;N(J919)),"⚠ Prix Autopiec &gt; prix public",IF(COUNTIFS($A$2:$A$1001,A919,$B$2:$B$1001,B919)&gt;1,"⚠ Référence en double","✔ OK"))))</f>
        <v/>
      </c>
    </row>
    <row r="920" customFormat="false" ht="15" hidden="false" customHeight="false" outlineLevel="0" collapsed="false">
      <c r="A920" s="11"/>
      <c r="B920" s="27"/>
      <c r="C920" s="11"/>
      <c r="D920" s="11"/>
      <c r="E920" s="11"/>
      <c r="F920" s="27"/>
      <c r="G920" s="27"/>
      <c r="H920" s="11"/>
      <c r="I920" s="11"/>
      <c r="J920" s="12"/>
      <c r="K920" s="12"/>
      <c r="L920" s="28" t="str">
        <f aca="false">IF(AND(ISNUMBER(J920),ISNUMBER(K920),N(J920)&gt;0),1-K920/J920,"")</f>
        <v/>
      </c>
      <c r="M920" s="29"/>
      <c r="N920" s="30"/>
      <c r="O920" s="30"/>
      <c r="P920" s="11"/>
      <c r="Q920" s="31"/>
      <c r="R920" s="11"/>
      <c r="S920" s="11"/>
      <c r="T920" s="11"/>
      <c r="U920" s="32" t="str">
        <f aca="false">IF((LEN(A920)+LEN(B920)+LEN(C920)+LEN(D920)+LEN(E920)+LEN(F920)+LEN(G920)+LEN(H920)+LEN(I920)+LEN(J920)+LEN(K920)+LEN(M920)+LEN(N920)+LEN(O920)+LEN(P920)+LEN(Q920)+LEN(R920)+LEN(S920)+LEN(T920))=0,"",IF(OR(A920="",B920="",C920="",D920="",E920="",J920="",K920="",N920=""),"⚠ Champ obligatoire manquant",IF(AND(ISNUMBER(K920),ISNUMBER(J920),N(K920)&gt;N(J920)),"⚠ Prix Autopiec &gt; prix public",IF(COUNTIFS($A$2:$A$1001,A920,$B$2:$B$1001,B920)&gt;1,"⚠ Référence en double","✔ OK"))))</f>
        <v/>
      </c>
    </row>
    <row r="921" customFormat="false" ht="15" hidden="false" customHeight="false" outlineLevel="0" collapsed="false">
      <c r="A921" s="11"/>
      <c r="B921" s="27"/>
      <c r="C921" s="11"/>
      <c r="D921" s="11"/>
      <c r="E921" s="11"/>
      <c r="F921" s="27"/>
      <c r="G921" s="27"/>
      <c r="H921" s="11"/>
      <c r="I921" s="11"/>
      <c r="J921" s="12"/>
      <c r="K921" s="12"/>
      <c r="L921" s="28" t="str">
        <f aca="false">IF(AND(ISNUMBER(J921),ISNUMBER(K921),N(J921)&gt;0),1-K921/J921,"")</f>
        <v/>
      </c>
      <c r="M921" s="29"/>
      <c r="N921" s="30"/>
      <c r="O921" s="30"/>
      <c r="P921" s="11"/>
      <c r="Q921" s="31"/>
      <c r="R921" s="11"/>
      <c r="S921" s="11"/>
      <c r="T921" s="11"/>
      <c r="U921" s="32" t="str">
        <f aca="false">IF((LEN(A921)+LEN(B921)+LEN(C921)+LEN(D921)+LEN(E921)+LEN(F921)+LEN(G921)+LEN(H921)+LEN(I921)+LEN(J921)+LEN(K921)+LEN(M921)+LEN(N921)+LEN(O921)+LEN(P921)+LEN(Q921)+LEN(R921)+LEN(S921)+LEN(T921))=0,"",IF(OR(A921="",B921="",C921="",D921="",E921="",J921="",K921="",N921=""),"⚠ Champ obligatoire manquant",IF(AND(ISNUMBER(K921),ISNUMBER(J921),N(K921)&gt;N(J921)),"⚠ Prix Autopiec &gt; prix public",IF(COUNTIFS($A$2:$A$1001,A921,$B$2:$B$1001,B921)&gt;1,"⚠ Référence en double","✔ OK"))))</f>
        <v/>
      </c>
    </row>
    <row r="922" customFormat="false" ht="15" hidden="false" customHeight="false" outlineLevel="0" collapsed="false">
      <c r="A922" s="11"/>
      <c r="B922" s="27"/>
      <c r="C922" s="11"/>
      <c r="D922" s="11"/>
      <c r="E922" s="11"/>
      <c r="F922" s="27"/>
      <c r="G922" s="27"/>
      <c r="H922" s="11"/>
      <c r="I922" s="11"/>
      <c r="J922" s="12"/>
      <c r="K922" s="12"/>
      <c r="L922" s="28" t="str">
        <f aca="false">IF(AND(ISNUMBER(J922),ISNUMBER(K922),N(J922)&gt;0),1-K922/J922,"")</f>
        <v/>
      </c>
      <c r="M922" s="29"/>
      <c r="N922" s="30"/>
      <c r="O922" s="30"/>
      <c r="P922" s="11"/>
      <c r="Q922" s="31"/>
      <c r="R922" s="11"/>
      <c r="S922" s="11"/>
      <c r="T922" s="11"/>
      <c r="U922" s="32" t="str">
        <f aca="false">IF((LEN(A922)+LEN(B922)+LEN(C922)+LEN(D922)+LEN(E922)+LEN(F922)+LEN(G922)+LEN(H922)+LEN(I922)+LEN(J922)+LEN(K922)+LEN(M922)+LEN(N922)+LEN(O922)+LEN(P922)+LEN(Q922)+LEN(R922)+LEN(S922)+LEN(T922))=0,"",IF(OR(A922="",B922="",C922="",D922="",E922="",J922="",K922="",N922=""),"⚠ Champ obligatoire manquant",IF(AND(ISNUMBER(K922),ISNUMBER(J922),N(K922)&gt;N(J922)),"⚠ Prix Autopiec &gt; prix public",IF(COUNTIFS($A$2:$A$1001,A922,$B$2:$B$1001,B922)&gt;1,"⚠ Référence en double","✔ OK"))))</f>
        <v/>
      </c>
    </row>
    <row r="923" customFormat="false" ht="15" hidden="false" customHeight="false" outlineLevel="0" collapsed="false">
      <c r="A923" s="11"/>
      <c r="B923" s="27"/>
      <c r="C923" s="11"/>
      <c r="D923" s="11"/>
      <c r="E923" s="11"/>
      <c r="F923" s="27"/>
      <c r="G923" s="27"/>
      <c r="H923" s="11"/>
      <c r="I923" s="11"/>
      <c r="J923" s="12"/>
      <c r="K923" s="12"/>
      <c r="L923" s="28" t="str">
        <f aca="false">IF(AND(ISNUMBER(J923),ISNUMBER(K923),N(J923)&gt;0),1-K923/J923,"")</f>
        <v/>
      </c>
      <c r="M923" s="29"/>
      <c r="N923" s="30"/>
      <c r="O923" s="30"/>
      <c r="P923" s="11"/>
      <c r="Q923" s="31"/>
      <c r="R923" s="11"/>
      <c r="S923" s="11"/>
      <c r="T923" s="11"/>
      <c r="U923" s="32" t="str">
        <f aca="false">IF((LEN(A923)+LEN(B923)+LEN(C923)+LEN(D923)+LEN(E923)+LEN(F923)+LEN(G923)+LEN(H923)+LEN(I923)+LEN(J923)+LEN(K923)+LEN(M923)+LEN(N923)+LEN(O923)+LEN(P923)+LEN(Q923)+LEN(R923)+LEN(S923)+LEN(T923))=0,"",IF(OR(A923="",B923="",C923="",D923="",E923="",J923="",K923="",N923=""),"⚠ Champ obligatoire manquant",IF(AND(ISNUMBER(K923),ISNUMBER(J923),N(K923)&gt;N(J923)),"⚠ Prix Autopiec &gt; prix public",IF(COUNTIFS($A$2:$A$1001,A923,$B$2:$B$1001,B923)&gt;1,"⚠ Référence en double","✔ OK"))))</f>
        <v/>
      </c>
    </row>
    <row r="924" customFormat="false" ht="15" hidden="false" customHeight="false" outlineLevel="0" collapsed="false">
      <c r="A924" s="11"/>
      <c r="B924" s="27"/>
      <c r="C924" s="11"/>
      <c r="D924" s="11"/>
      <c r="E924" s="11"/>
      <c r="F924" s="27"/>
      <c r="G924" s="27"/>
      <c r="H924" s="11"/>
      <c r="I924" s="11"/>
      <c r="J924" s="12"/>
      <c r="K924" s="12"/>
      <c r="L924" s="28" t="str">
        <f aca="false">IF(AND(ISNUMBER(J924),ISNUMBER(K924),N(J924)&gt;0),1-K924/J924,"")</f>
        <v/>
      </c>
      <c r="M924" s="29"/>
      <c r="N924" s="30"/>
      <c r="O924" s="30"/>
      <c r="P924" s="11"/>
      <c r="Q924" s="31"/>
      <c r="R924" s="11"/>
      <c r="S924" s="11"/>
      <c r="T924" s="11"/>
      <c r="U924" s="32" t="str">
        <f aca="false">IF((LEN(A924)+LEN(B924)+LEN(C924)+LEN(D924)+LEN(E924)+LEN(F924)+LEN(G924)+LEN(H924)+LEN(I924)+LEN(J924)+LEN(K924)+LEN(M924)+LEN(N924)+LEN(O924)+LEN(P924)+LEN(Q924)+LEN(R924)+LEN(S924)+LEN(T924))=0,"",IF(OR(A924="",B924="",C924="",D924="",E924="",J924="",K924="",N924=""),"⚠ Champ obligatoire manquant",IF(AND(ISNUMBER(K924),ISNUMBER(J924),N(K924)&gt;N(J924)),"⚠ Prix Autopiec &gt; prix public",IF(COUNTIFS($A$2:$A$1001,A924,$B$2:$B$1001,B924)&gt;1,"⚠ Référence en double","✔ OK"))))</f>
        <v/>
      </c>
    </row>
    <row r="925" customFormat="false" ht="15" hidden="false" customHeight="false" outlineLevel="0" collapsed="false">
      <c r="A925" s="11"/>
      <c r="B925" s="27"/>
      <c r="C925" s="11"/>
      <c r="D925" s="11"/>
      <c r="E925" s="11"/>
      <c r="F925" s="27"/>
      <c r="G925" s="27"/>
      <c r="H925" s="11"/>
      <c r="I925" s="11"/>
      <c r="J925" s="12"/>
      <c r="K925" s="12"/>
      <c r="L925" s="28" t="str">
        <f aca="false">IF(AND(ISNUMBER(J925),ISNUMBER(K925),N(J925)&gt;0),1-K925/J925,"")</f>
        <v/>
      </c>
      <c r="M925" s="29"/>
      <c r="N925" s="30"/>
      <c r="O925" s="30"/>
      <c r="P925" s="11"/>
      <c r="Q925" s="31"/>
      <c r="R925" s="11"/>
      <c r="S925" s="11"/>
      <c r="T925" s="11"/>
      <c r="U925" s="32" t="str">
        <f aca="false">IF((LEN(A925)+LEN(B925)+LEN(C925)+LEN(D925)+LEN(E925)+LEN(F925)+LEN(G925)+LEN(H925)+LEN(I925)+LEN(J925)+LEN(K925)+LEN(M925)+LEN(N925)+LEN(O925)+LEN(P925)+LEN(Q925)+LEN(R925)+LEN(S925)+LEN(T925))=0,"",IF(OR(A925="",B925="",C925="",D925="",E925="",J925="",K925="",N925=""),"⚠ Champ obligatoire manquant",IF(AND(ISNUMBER(K925),ISNUMBER(J925),N(K925)&gt;N(J925)),"⚠ Prix Autopiec &gt; prix public",IF(COUNTIFS($A$2:$A$1001,A925,$B$2:$B$1001,B925)&gt;1,"⚠ Référence en double","✔ OK"))))</f>
        <v/>
      </c>
    </row>
    <row r="926" customFormat="false" ht="15" hidden="false" customHeight="false" outlineLevel="0" collapsed="false">
      <c r="A926" s="11"/>
      <c r="B926" s="27"/>
      <c r="C926" s="11"/>
      <c r="D926" s="11"/>
      <c r="E926" s="11"/>
      <c r="F926" s="27"/>
      <c r="G926" s="27"/>
      <c r="H926" s="11"/>
      <c r="I926" s="11"/>
      <c r="J926" s="12"/>
      <c r="K926" s="12"/>
      <c r="L926" s="28" t="str">
        <f aca="false">IF(AND(ISNUMBER(J926),ISNUMBER(K926),N(J926)&gt;0),1-K926/J926,"")</f>
        <v/>
      </c>
      <c r="M926" s="29"/>
      <c r="N926" s="30"/>
      <c r="O926" s="30"/>
      <c r="P926" s="11"/>
      <c r="Q926" s="31"/>
      <c r="R926" s="11"/>
      <c r="S926" s="11"/>
      <c r="T926" s="11"/>
      <c r="U926" s="32" t="str">
        <f aca="false">IF((LEN(A926)+LEN(B926)+LEN(C926)+LEN(D926)+LEN(E926)+LEN(F926)+LEN(G926)+LEN(H926)+LEN(I926)+LEN(J926)+LEN(K926)+LEN(M926)+LEN(N926)+LEN(O926)+LEN(P926)+LEN(Q926)+LEN(R926)+LEN(S926)+LEN(T926))=0,"",IF(OR(A926="",B926="",C926="",D926="",E926="",J926="",K926="",N926=""),"⚠ Champ obligatoire manquant",IF(AND(ISNUMBER(K926),ISNUMBER(J926),N(K926)&gt;N(J926)),"⚠ Prix Autopiec &gt; prix public",IF(COUNTIFS($A$2:$A$1001,A926,$B$2:$B$1001,B926)&gt;1,"⚠ Référence en double","✔ OK"))))</f>
        <v/>
      </c>
    </row>
    <row r="927" customFormat="false" ht="15" hidden="false" customHeight="false" outlineLevel="0" collapsed="false">
      <c r="A927" s="11"/>
      <c r="B927" s="27"/>
      <c r="C927" s="11"/>
      <c r="D927" s="11"/>
      <c r="E927" s="11"/>
      <c r="F927" s="27"/>
      <c r="G927" s="27"/>
      <c r="H927" s="11"/>
      <c r="I927" s="11"/>
      <c r="J927" s="12"/>
      <c r="K927" s="12"/>
      <c r="L927" s="28" t="str">
        <f aca="false">IF(AND(ISNUMBER(J927),ISNUMBER(K927),N(J927)&gt;0),1-K927/J927,"")</f>
        <v/>
      </c>
      <c r="M927" s="29"/>
      <c r="N927" s="30"/>
      <c r="O927" s="30"/>
      <c r="P927" s="11"/>
      <c r="Q927" s="31"/>
      <c r="R927" s="11"/>
      <c r="S927" s="11"/>
      <c r="T927" s="11"/>
      <c r="U927" s="32" t="str">
        <f aca="false">IF((LEN(A927)+LEN(B927)+LEN(C927)+LEN(D927)+LEN(E927)+LEN(F927)+LEN(G927)+LEN(H927)+LEN(I927)+LEN(J927)+LEN(K927)+LEN(M927)+LEN(N927)+LEN(O927)+LEN(P927)+LEN(Q927)+LEN(R927)+LEN(S927)+LEN(T927))=0,"",IF(OR(A927="",B927="",C927="",D927="",E927="",J927="",K927="",N927=""),"⚠ Champ obligatoire manquant",IF(AND(ISNUMBER(K927),ISNUMBER(J927),N(K927)&gt;N(J927)),"⚠ Prix Autopiec &gt; prix public",IF(COUNTIFS($A$2:$A$1001,A927,$B$2:$B$1001,B927)&gt;1,"⚠ Référence en double","✔ OK"))))</f>
        <v/>
      </c>
    </row>
    <row r="928" customFormat="false" ht="15" hidden="false" customHeight="false" outlineLevel="0" collapsed="false">
      <c r="A928" s="11"/>
      <c r="B928" s="27"/>
      <c r="C928" s="11"/>
      <c r="D928" s="11"/>
      <c r="E928" s="11"/>
      <c r="F928" s="27"/>
      <c r="G928" s="27"/>
      <c r="H928" s="11"/>
      <c r="I928" s="11"/>
      <c r="J928" s="12"/>
      <c r="K928" s="12"/>
      <c r="L928" s="28" t="str">
        <f aca="false">IF(AND(ISNUMBER(J928),ISNUMBER(K928),N(J928)&gt;0),1-K928/J928,"")</f>
        <v/>
      </c>
      <c r="M928" s="29"/>
      <c r="N928" s="30"/>
      <c r="O928" s="30"/>
      <c r="P928" s="11"/>
      <c r="Q928" s="31"/>
      <c r="R928" s="11"/>
      <c r="S928" s="11"/>
      <c r="T928" s="11"/>
      <c r="U928" s="32" t="str">
        <f aca="false">IF((LEN(A928)+LEN(B928)+LEN(C928)+LEN(D928)+LEN(E928)+LEN(F928)+LEN(G928)+LEN(H928)+LEN(I928)+LEN(J928)+LEN(K928)+LEN(M928)+LEN(N928)+LEN(O928)+LEN(P928)+LEN(Q928)+LEN(R928)+LEN(S928)+LEN(T928))=0,"",IF(OR(A928="",B928="",C928="",D928="",E928="",J928="",K928="",N928=""),"⚠ Champ obligatoire manquant",IF(AND(ISNUMBER(K928),ISNUMBER(J928),N(K928)&gt;N(J928)),"⚠ Prix Autopiec &gt; prix public",IF(COUNTIFS($A$2:$A$1001,A928,$B$2:$B$1001,B928)&gt;1,"⚠ Référence en double","✔ OK"))))</f>
        <v/>
      </c>
    </row>
    <row r="929" customFormat="false" ht="15" hidden="false" customHeight="false" outlineLevel="0" collapsed="false">
      <c r="A929" s="11"/>
      <c r="B929" s="27"/>
      <c r="C929" s="11"/>
      <c r="D929" s="11"/>
      <c r="E929" s="11"/>
      <c r="F929" s="27"/>
      <c r="G929" s="27"/>
      <c r="H929" s="11"/>
      <c r="I929" s="11"/>
      <c r="J929" s="12"/>
      <c r="K929" s="12"/>
      <c r="L929" s="28" t="str">
        <f aca="false">IF(AND(ISNUMBER(J929),ISNUMBER(K929),N(J929)&gt;0),1-K929/J929,"")</f>
        <v/>
      </c>
      <c r="M929" s="29"/>
      <c r="N929" s="30"/>
      <c r="O929" s="30"/>
      <c r="P929" s="11"/>
      <c r="Q929" s="31"/>
      <c r="R929" s="11"/>
      <c r="S929" s="11"/>
      <c r="T929" s="11"/>
      <c r="U929" s="32" t="str">
        <f aca="false">IF((LEN(A929)+LEN(B929)+LEN(C929)+LEN(D929)+LEN(E929)+LEN(F929)+LEN(G929)+LEN(H929)+LEN(I929)+LEN(J929)+LEN(K929)+LEN(M929)+LEN(N929)+LEN(O929)+LEN(P929)+LEN(Q929)+LEN(R929)+LEN(S929)+LEN(T929))=0,"",IF(OR(A929="",B929="",C929="",D929="",E929="",J929="",K929="",N929=""),"⚠ Champ obligatoire manquant",IF(AND(ISNUMBER(K929),ISNUMBER(J929),N(K929)&gt;N(J929)),"⚠ Prix Autopiec &gt; prix public",IF(COUNTIFS($A$2:$A$1001,A929,$B$2:$B$1001,B929)&gt;1,"⚠ Référence en double","✔ OK"))))</f>
        <v/>
      </c>
    </row>
    <row r="930" customFormat="false" ht="15" hidden="false" customHeight="false" outlineLevel="0" collapsed="false">
      <c r="A930" s="11"/>
      <c r="B930" s="27"/>
      <c r="C930" s="11"/>
      <c r="D930" s="11"/>
      <c r="E930" s="11"/>
      <c r="F930" s="27"/>
      <c r="G930" s="27"/>
      <c r="H930" s="11"/>
      <c r="I930" s="11"/>
      <c r="J930" s="12"/>
      <c r="K930" s="12"/>
      <c r="L930" s="28" t="str">
        <f aca="false">IF(AND(ISNUMBER(J930),ISNUMBER(K930),N(J930)&gt;0),1-K930/J930,"")</f>
        <v/>
      </c>
      <c r="M930" s="29"/>
      <c r="N930" s="30"/>
      <c r="O930" s="30"/>
      <c r="P930" s="11"/>
      <c r="Q930" s="31"/>
      <c r="R930" s="11"/>
      <c r="S930" s="11"/>
      <c r="T930" s="11"/>
      <c r="U930" s="32" t="str">
        <f aca="false">IF((LEN(A930)+LEN(B930)+LEN(C930)+LEN(D930)+LEN(E930)+LEN(F930)+LEN(G930)+LEN(H930)+LEN(I930)+LEN(J930)+LEN(K930)+LEN(M930)+LEN(N930)+LEN(O930)+LEN(P930)+LEN(Q930)+LEN(R930)+LEN(S930)+LEN(T930))=0,"",IF(OR(A930="",B930="",C930="",D930="",E930="",J930="",K930="",N930=""),"⚠ Champ obligatoire manquant",IF(AND(ISNUMBER(K930),ISNUMBER(J930),N(K930)&gt;N(J930)),"⚠ Prix Autopiec &gt; prix public",IF(COUNTIFS($A$2:$A$1001,A930,$B$2:$B$1001,B930)&gt;1,"⚠ Référence en double","✔ OK"))))</f>
        <v/>
      </c>
    </row>
    <row r="931" customFormat="false" ht="15" hidden="false" customHeight="false" outlineLevel="0" collapsed="false">
      <c r="A931" s="11"/>
      <c r="B931" s="27"/>
      <c r="C931" s="11"/>
      <c r="D931" s="11"/>
      <c r="E931" s="11"/>
      <c r="F931" s="27"/>
      <c r="G931" s="27"/>
      <c r="H931" s="11"/>
      <c r="I931" s="11"/>
      <c r="J931" s="12"/>
      <c r="K931" s="12"/>
      <c r="L931" s="28" t="str">
        <f aca="false">IF(AND(ISNUMBER(J931),ISNUMBER(K931),N(J931)&gt;0),1-K931/J931,"")</f>
        <v/>
      </c>
      <c r="M931" s="29"/>
      <c r="N931" s="30"/>
      <c r="O931" s="30"/>
      <c r="P931" s="11"/>
      <c r="Q931" s="31"/>
      <c r="R931" s="11"/>
      <c r="S931" s="11"/>
      <c r="T931" s="11"/>
      <c r="U931" s="32" t="str">
        <f aca="false">IF((LEN(A931)+LEN(B931)+LEN(C931)+LEN(D931)+LEN(E931)+LEN(F931)+LEN(G931)+LEN(H931)+LEN(I931)+LEN(J931)+LEN(K931)+LEN(M931)+LEN(N931)+LEN(O931)+LEN(P931)+LEN(Q931)+LEN(R931)+LEN(S931)+LEN(T931))=0,"",IF(OR(A931="",B931="",C931="",D931="",E931="",J931="",K931="",N931=""),"⚠ Champ obligatoire manquant",IF(AND(ISNUMBER(K931),ISNUMBER(J931),N(K931)&gt;N(J931)),"⚠ Prix Autopiec &gt; prix public",IF(COUNTIFS($A$2:$A$1001,A931,$B$2:$B$1001,B931)&gt;1,"⚠ Référence en double","✔ OK"))))</f>
        <v/>
      </c>
    </row>
    <row r="932" customFormat="false" ht="15" hidden="false" customHeight="false" outlineLevel="0" collapsed="false">
      <c r="A932" s="11"/>
      <c r="B932" s="27"/>
      <c r="C932" s="11"/>
      <c r="D932" s="11"/>
      <c r="E932" s="11"/>
      <c r="F932" s="27"/>
      <c r="G932" s="27"/>
      <c r="H932" s="11"/>
      <c r="I932" s="11"/>
      <c r="J932" s="12"/>
      <c r="K932" s="12"/>
      <c r="L932" s="28" t="str">
        <f aca="false">IF(AND(ISNUMBER(J932),ISNUMBER(K932),N(J932)&gt;0),1-K932/J932,"")</f>
        <v/>
      </c>
      <c r="M932" s="29"/>
      <c r="N932" s="30"/>
      <c r="O932" s="30"/>
      <c r="P932" s="11"/>
      <c r="Q932" s="31"/>
      <c r="R932" s="11"/>
      <c r="S932" s="11"/>
      <c r="T932" s="11"/>
      <c r="U932" s="32" t="str">
        <f aca="false">IF((LEN(A932)+LEN(B932)+LEN(C932)+LEN(D932)+LEN(E932)+LEN(F932)+LEN(G932)+LEN(H932)+LEN(I932)+LEN(J932)+LEN(K932)+LEN(M932)+LEN(N932)+LEN(O932)+LEN(P932)+LEN(Q932)+LEN(R932)+LEN(S932)+LEN(T932))=0,"",IF(OR(A932="",B932="",C932="",D932="",E932="",J932="",K932="",N932=""),"⚠ Champ obligatoire manquant",IF(AND(ISNUMBER(K932),ISNUMBER(J932),N(K932)&gt;N(J932)),"⚠ Prix Autopiec &gt; prix public",IF(COUNTIFS($A$2:$A$1001,A932,$B$2:$B$1001,B932)&gt;1,"⚠ Référence en double","✔ OK"))))</f>
        <v/>
      </c>
    </row>
    <row r="933" customFormat="false" ht="15" hidden="false" customHeight="false" outlineLevel="0" collapsed="false">
      <c r="A933" s="11"/>
      <c r="B933" s="27"/>
      <c r="C933" s="11"/>
      <c r="D933" s="11"/>
      <c r="E933" s="11"/>
      <c r="F933" s="27"/>
      <c r="G933" s="27"/>
      <c r="H933" s="11"/>
      <c r="I933" s="11"/>
      <c r="J933" s="12"/>
      <c r="K933" s="12"/>
      <c r="L933" s="28" t="str">
        <f aca="false">IF(AND(ISNUMBER(J933),ISNUMBER(K933),N(J933)&gt;0),1-K933/J933,"")</f>
        <v/>
      </c>
      <c r="M933" s="29"/>
      <c r="N933" s="30"/>
      <c r="O933" s="30"/>
      <c r="P933" s="11"/>
      <c r="Q933" s="31"/>
      <c r="R933" s="11"/>
      <c r="S933" s="11"/>
      <c r="T933" s="11"/>
      <c r="U933" s="32" t="str">
        <f aca="false">IF((LEN(A933)+LEN(B933)+LEN(C933)+LEN(D933)+LEN(E933)+LEN(F933)+LEN(G933)+LEN(H933)+LEN(I933)+LEN(J933)+LEN(K933)+LEN(M933)+LEN(N933)+LEN(O933)+LEN(P933)+LEN(Q933)+LEN(R933)+LEN(S933)+LEN(T933))=0,"",IF(OR(A933="",B933="",C933="",D933="",E933="",J933="",K933="",N933=""),"⚠ Champ obligatoire manquant",IF(AND(ISNUMBER(K933),ISNUMBER(J933),N(K933)&gt;N(J933)),"⚠ Prix Autopiec &gt; prix public",IF(COUNTIFS($A$2:$A$1001,A933,$B$2:$B$1001,B933)&gt;1,"⚠ Référence en double","✔ OK"))))</f>
        <v/>
      </c>
    </row>
    <row r="934" customFormat="false" ht="15" hidden="false" customHeight="false" outlineLevel="0" collapsed="false">
      <c r="A934" s="11"/>
      <c r="B934" s="27"/>
      <c r="C934" s="11"/>
      <c r="D934" s="11"/>
      <c r="E934" s="11"/>
      <c r="F934" s="27"/>
      <c r="G934" s="27"/>
      <c r="H934" s="11"/>
      <c r="I934" s="11"/>
      <c r="J934" s="12"/>
      <c r="K934" s="12"/>
      <c r="L934" s="28" t="str">
        <f aca="false">IF(AND(ISNUMBER(J934),ISNUMBER(K934),N(J934)&gt;0),1-K934/J934,"")</f>
        <v/>
      </c>
      <c r="M934" s="29"/>
      <c r="N934" s="30"/>
      <c r="O934" s="30"/>
      <c r="P934" s="11"/>
      <c r="Q934" s="31"/>
      <c r="R934" s="11"/>
      <c r="S934" s="11"/>
      <c r="T934" s="11"/>
      <c r="U934" s="32" t="str">
        <f aca="false">IF((LEN(A934)+LEN(B934)+LEN(C934)+LEN(D934)+LEN(E934)+LEN(F934)+LEN(G934)+LEN(H934)+LEN(I934)+LEN(J934)+LEN(K934)+LEN(M934)+LEN(N934)+LEN(O934)+LEN(P934)+LEN(Q934)+LEN(R934)+LEN(S934)+LEN(T934))=0,"",IF(OR(A934="",B934="",C934="",D934="",E934="",J934="",K934="",N934=""),"⚠ Champ obligatoire manquant",IF(AND(ISNUMBER(K934),ISNUMBER(J934),N(K934)&gt;N(J934)),"⚠ Prix Autopiec &gt; prix public",IF(COUNTIFS($A$2:$A$1001,A934,$B$2:$B$1001,B934)&gt;1,"⚠ Référence en double","✔ OK"))))</f>
        <v/>
      </c>
    </row>
    <row r="935" customFormat="false" ht="15" hidden="false" customHeight="false" outlineLevel="0" collapsed="false">
      <c r="A935" s="11"/>
      <c r="B935" s="27"/>
      <c r="C935" s="11"/>
      <c r="D935" s="11"/>
      <c r="E935" s="11"/>
      <c r="F935" s="27"/>
      <c r="G935" s="27"/>
      <c r="H935" s="11"/>
      <c r="I935" s="11"/>
      <c r="J935" s="12"/>
      <c r="K935" s="12"/>
      <c r="L935" s="28" t="str">
        <f aca="false">IF(AND(ISNUMBER(J935),ISNUMBER(K935),N(J935)&gt;0),1-K935/J935,"")</f>
        <v/>
      </c>
      <c r="M935" s="29"/>
      <c r="N935" s="30"/>
      <c r="O935" s="30"/>
      <c r="P935" s="11"/>
      <c r="Q935" s="31"/>
      <c r="R935" s="11"/>
      <c r="S935" s="11"/>
      <c r="T935" s="11"/>
      <c r="U935" s="32" t="str">
        <f aca="false">IF((LEN(A935)+LEN(B935)+LEN(C935)+LEN(D935)+LEN(E935)+LEN(F935)+LEN(G935)+LEN(H935)+LEN(I935)+LEN(J935)+LEN(K935)+LEN(M935)+LEN(N935)+LEN(O935)+LEN(P935)+LEN(Q935)+LEN(R935)+LEN(S935)+LEN(T935))=0,"",IF(OR(A935="",B935="",C935="",D935="",E935="",J935="",K935="",N935=""),"⚠ Champ obligatoire manquant",IF(AND(ISNUMBER(K935),ISNUMBER(J935),N(K935)&gt;N(J935)),"⚠ Prix Autopiec &gt; prix public",IF(COUNTIFS($A$2:$A$1001,A935,$B$2:$B$1001,B935)&gt;1,"⚠ Référence en double","✔ OK"))))</f>
        <v/>
      </c>
    </row>
    <row r="936" customFormat="false" ht="15" hidden="false" customHeight="false" outlineLevel="0" collapsed="false">
      <c r="A936" s="11"/>
      <c r="B936" s="27"/>
      <c r="C936" s="11"/>
      <c r="D936" s="11"/>
      <c r="E936" s="11"/>
      <c r="F936" s="27"/>
      <c r="G936" s="27"/>
      <c r="H936" s="11"/>
      <c r="I936" s="11"/>
      <c r="J936" s="12"/>
      <c r="K936" s="12"/>
      <c r="L936" s="28" t="str">
        <f aca="false">IF(AND(ISNUMBER(J936),ISNUMBER(K936),N(J936)&gt;0),1-K936/J936,"")</f>
        <v/>
      </c>
      <c r="M936" s="29"/>
      <c r="N936" s="30"/>
      <c r="O936" s="30"/>
      <c r="P936" s="11"/>
      <c r="Q936" s="31"/>
      <c r="R936" s="11"/>
      <c r="S936" s="11"/>
      <c r="T936" s="11"/>
      <c r="U936" s="32" t="str">
        <f aca="false">IF((LEN(A936)+LEN(B936)+LEN(C936)+LEN(D936)+LEN(E936)+LEN(F936)+LEN(G936)+LEN(H936)+LEN(I936)+LEN(J936)+LEN(K936)+LEN(M936)+LEN(N936)+LEN(O936)+LEN(P936)+LEN(Q936)+LEN(R936)+LEN(S936)+LEN(T936))=0,"",IF(OR(A936="",B936="",C936="",D936="",E936="",J936="",K936="",N936=""),"⚠ Champ obligatoire manquant",IF(AND(ISNUMBER(K936),ISNUMBER(J936),N(K936)&gt;N(J936)),"⚠ Prix Autopiec &gt; prix public",IF(COUNTIFS($A$2:$A$1001,A936,$B$2:$B$1001,B936)&gt;1,"⚠ Référence en double","✔ OK"))))</f>
        <v/>
      </c>
    </row>
    <row r="937" customFormat="false" ht="15" hidden="false" customHeight="false" outlineLevel="0" collapsed="false">
      <c r="A937" s="11"/>
      <c r="B937" s="27"/>
      <c r="C937" s="11"/>
      <c r="D937" s="11"/>
      <c r="E937" s="11"/>
      <c r="F937" s="27"/>
      <c r="G937" s="27"/>
      <c r="H937" s="11"/>
      <c r="I937" s="11"/>
      <c r="J937" s="12"/>
      <c r="K937" s="12"/>
      <c r="L937" s="28" t="str">
        <f aca="false">IF(AND(ISNUMBER(J937),ISNUMBER(K937),N(J937)&gt;0),1-K937/J937,"")</f>
        <v/>
      </c>
      <c r="M937" s="29"/>
      <c r="N937" s="30"/>
      <c r="O937" s="30"/>
      <c r="P937" s="11"/>
      <c r="Q937" s="31"/>
      <c r="R937" s="11"/>
      <c r="S937" s="11"/>
      <c r="T937" s="11"/>
      <c r="U937" s="32" t="str">
        <f aca="false">IF((LEN(A937)+LEN(B937)+LEN(C937)+LEN(D937)+LEN(E937)+LEN(F937)+LEN(G937)+LEN(H937)+LEN(I937)+LEN(J937)+LEN(K937)+LEN(M937)+LEN(N937)+LEN(O937)+LEN(P937)+LEN(Q937)+LEN(R937)+LEN(S937)+LEN(T937))=0,"",IF(OR(A937="",B937="",C937="",D937="",E937="",J937="",K937="",N937=""),"⚠ Champ obligatoire manquant",IF(AND(ISNUMBER(K937),ISNUMBER(J937),N(K937)&gt;N(J937)),"⚠ Prix Autopiec &gt; prix public",IF(COUNTIFS($A$2:$A$1001,A937,$B$2:$B$1001,B937)&gt;1,"⚠ Référence en double","✔ OK"))))</f>
        <v/>
      </c>
    </row>
    <row r="938" customFormat="false" ht="15" hidden="false" customHeight="false" outlineLevel="0" collapsed="false">
      <c r="A938" s="11"/>
      <c r="B938" s="27"/>
      <c r="C938" s="11"/>
      <c r="D938" s="11"/>
      <c r="E938" s="11"/>
      <c r="F938" s="27"/>
      <c r="G938" s="27"/>
      <c r="H938" s="11"/>
      <c r="I938" s="11"/>
      <c r="J938" s="12"/>
      <c r="K938" s="12"/>
      <c r="L938" s="28" t="str">
        <f aca="false">IF(AND(ISNUMBER(J938),ISNUMBER(K938),N(J938)&gt;0),1-K938/J938,"")</f>
        <v/>
      </c>
      <c r="M938" s="29"/>
      <c r="N938" s="30"/>
      <c r="O938" s="30"/>
      <c r="P938" s="11"/>
      <c r="Q938" s="31"/>
      <c r="R938" s="11"/>
      <c r="S938" s="11"/>
      <c r="T938" s="11"/>
      <c r="U938" s="32" t="str">
        <f aca="false">IF((LEN(A938)+LEN(B938)+LEN(C938)+LEN(D938)+LEN(E938)+LEN(F938)+LEN(G938)+LEN(H938)+LEN(I938)+LEN(J938)+LEN(K938)+LEN(M938)+LEN(N938)+LEN(O938)+LEN(P938)+LEN(Q938)+LEN(R938)+LEN(S938)+LEN(T938))=0,"",IF(OR(A938="",B938="",C938="",D938="",E938="",J938="",K938="",N938=""),"⚠ Champ obligatoire manquant",IF(AND(ISNUMBER(K938),ISNUMBER(J938),N(K938)&gt;N(J938)),"⚠ Prix Autopiec &gt; prix public",IF(COUNTIFS($A$2:$A$1001,A938,$B$2:$B$1001,B938)&gt;1,"⚠ Référence en double","✔ OK"))))</f>
        <v/>
      </c>
    </row>
    <row r="939" customFormat="false" ht="15" hidden="false" customHeight="false" outlineLevel="0" collapsed="false">
      <c r="A939" s="11"/>
      <c r="B939" s="27"/>
      <c r="C939" s="11"/>
      <c r="D939" s="11"/>
      <c r="E939" s="11"/>
      <c r="F939" s="27"/>
      <c r="G939" s="27"/>
      <c r="H939" s="11"/>
      <c r="I939" s="11"/>
      <c r="J939" s="12"/>
      <c r="K939" s="12"/>
      <c r="L939" s="28" t="str">
        <f aca="false">IF(AND(ISNUMBER(J939),ISNUMBER(K939),N(J939)&gt;0),1-K939/J939,"")</f>
        <v/>
      </c>
      <c r="M939" s="29"/>
      <c r="N939" s="30"/>
      <c r="O939" s="30"/>
      <c r="P939" s="11"/>
      <c r="Q939" s="31"/>
      <c r="R939" s="11"/>
      <c r="S939" s="11"/>
      <c r="T939" s="11"/>
      <c r="U939" s="32" t="str">
        <f aca="false">IF((LEN(A939)+LEN(B939)+LEN(C939)+LEN(D939)+LEN(E939)+LEN(F939)+LEN(G939)+LEN(H939)+LEN(I939)+LEN(J939)+LEN(K939)+LEN(M939)+LEN(N939)+LEN(O939)+LEN(P939)+LEN(Q939)+LEN(R939)+LEN(S939)+LEN(T939))=0,"",IF(OR(A939="",B939="",C939="",D939="",E939="",J939="",K939="",N939=""),"⚠ Champ obligatoire manquant",IF(AND(ISNUMBER(K939),ISNUMBER(J939),N(K939)&gt;N(J939)),"⚠ Prix Autopiec &gt; prix public",IF(COUNTIFS($A$2:$A$1001,A939,$B$2:$B$1001,B939)&gt;1,"⚠ Référence en double","✔ OK"))))</f>
        <v/>
      </c>
    </row>
    <row r="940" customFormat="false" ht="15" hidden="false" customHeight="false" outlineLevel="0" collapsed="false">
      <c r="A940" s="11"/>
      <c r="B940" s="27"/>
      <c r="C940" s="11"/>
      <c r="D940" s="11"/>
      <c r="E940" s="11"/>
      <c r="F940" s="27"/>
      <c r="G940" s="27"/>
      <c r="H940" s="11"/>
      <c r="I940" s="11"/>
      <c r="J940" s="12"/>
      <c r="K940" s="12"/>
      <c r="L940" s="28" t="str">
        <f aca="false">IF(AND(ISNUMBER(J940),ISNUMBER(K940),N(J940)&gt;0),1-K940/J940,"")</f>
        <v/>
      </c>
      <c r="M940" s="29"/>
      <c r="N940" s="30"/>
      <c r="O940" s="30"/>
      <c r="P940" s="11"/>
      <c r="Q940" s="31"/>
      <c r="R940" s="11"/>
      <c r="S940" s="11"/>
      <c r="T940" s="11"/>
      <c r="U940" s="32" t="str">
        <f aca="false">IF((LEN(A940)+LEN(B940)+LEN(C940)+LEN(D940)+LEN(E940)+LEN(F940)+LEN(G940)+LEN(H940)+LEN(I940)+LEN(J940)+LEN(K940)+LEN(M940)+LEN(N940)+LEN(O940)+LEN(P940)+LEN(Q940)+LEN(R940)+LEN(S940)+LEN(T940))=0,"",IF(OR(A940="",B940="",C940="",D940="",E940="",J940="",K940="",N940=""),"⚠ Champ obligatoire manquant",IF(AND(ISNUMBER(K940),ISNUMBER(J940),N(K940)&gt;N(J940)),"⚠ Prix Autopiec &gt; prix public",IF(COUNTIFS($A$2:$A$1001,A940,$B$2:$B$1001,B940)&gt;1,"⚠ Référence en double","✔ OK"))))</f>
        <v/>
      </c>
    </row>
    <row r="941" customFormat="false" ht="15" hidden="false" customHeight="false" outlineLevel="0" collapsed="false">
      <c r="A941" s="11"/>
      <c r="B941" s="27"/>
      <c r="C941" s="11"/>
      <c r="D941" s="11"/>
      <c r="E941" s="11"/>
      <c r="F941" s="27"/>
      <c r="G941" s="27"/>
      <c r="H941" s="11"/>
      <c r="I941" s="11"/>
      <c r="J941" s="12"/>
      <c r="K941" s="12"/>
      <c r="L941" s="28" t="str">
        <f aca="false">IF(AND(ISNUMBER(J941),ISNUMBER(K941),N(J941)&gt;0),1-K941/J941,"")</f>
        <v/>
      </c>
      <c r="M941" s="29"/>
      <c r="N941" s="30"/>
      <c r="O941" s="30"/>
      <c r="P941" s="11"/>
      <c r="Q941" s="31"/>
      <c r="R941" s="11"/>
      <c r="S941" s="11"/>
      <c r="T941" s="11"/>
      <c r="U941" s="32" t="str">
        <f aca="false">IF((LEN(A941)+LEN(B941)+LEN(C941)+LEN(D941)+LEN(E941)+LEN(F941)+LEN(G941)+LEN(H941)+LEN(I941)+LEN(J941)+LEN(K941)+LEN(M941)+LEN(N941)+LEN(O941)+LEN(P941)+LEN(Q941)+LEN(R941)+LEN(S941)+LEN(T941))=0,"",IF(OR(A941="",B941="",C941="",D941="",E941="",J941="",K941="",N941=""),"⚠ Champ obligatoire manquant",IF(AND(ISNUMBER(K941),ISNUMBER(J941),N(K941)&gt;N(J941)),"⚠ Prix Autopiec &gt; prix public",IF(COUNTIFS($A$2:$A$1001,A941,$B$2:$B$1001,B941)&gt;1,"⚠ Référence en double","✔ OK"))))</f>
        <v/>
      </c>
    </row>
    <row r="942" customFormat="false" ht="15" hidden="false" customHeight="false" outlineLevel="0" collapsed="false">
      <c r="A942" s="11"/>
      <c r="B942" s="27"/>
      <c r="C942" s="11"/>
      <c r="D942" s="11"/>
      <c r="E942" s="11"/>
      <c r="F942" s="27"/>
      <c r="G942" s="27"/>
      <c r="H942" s="11"/>
      <c r="I942" s="11"/>
      <c r="J942" s="12"/>
      <c r="K942" s="12"/>
      <c r="L942" s="28" t="str">
        <f aca="false">IF(AND(ISNUMBER(J942),ISNUMBER(K942),N(J942)&gt;0),1-K942/J942,"")</f>
        <v/>
      </c>
      <c r="M942" s="29"/>
      <c r="N942" s="30"/>
      <c r="O942" s="30"/>
      <c r="P942" s="11"/>
      <c r="Q942" s="31"/>
      <c r="R942" s="11"/>
      <c r="S942" s="11"/>
      <c r="T942" s="11"/>
      <c r="U942" s="32" t="str">
        <f aca="false">IF((LEN(A942)+LEN(B942)+LEN(C942)+LEN(D942)+LEN(E942)+LEN(F942)+LEN(G942)+LEN(H942)+LEN(I942)+LEN(J942)+LEN(K942)+LEN(M942)+LEN(N942)+LEN(O942)+LEN(P942)+LEN(Q942)+LEN(R942)+LEN(S942)+LEN(T942))=0,"",IF(OR(A942="",B942="",C942="",D942="",E942="",J942="",K942="",N942=""),"⚠ Champ obligatoire manquant",IF(AND(ISNUMBER(K942),ISNUMBER(J942),N(K942)&gt;N(J942)),"⚠ Prix Autopiec &gt; prix public",IF(COUNTIFS($A$2:$A$1001,A942,$B$2:$B$1001,B942)&gt;1,"⚠ Référence en double","✔ OK"))))</f>
        <v/>
      </c>
    </row>
    <row r="943" customFormat="false" ht="15" hidden="false" customHeight="false" outlineLevel="0" collapsed="false">
      <c r="A943" s="11"/>
      <c r="B943" s="27"/>
      <c r="C943" s="11"/>
      <c r="D943" s="11"/>
      <c r="E943" s="11"/>
      <c r="F943" s="27"/>
      <c r="G943" s="27"/>
      <c r="H943" s="11"/>
      <c r="I943" s="11"/>
      <c r="J943" s="12"/>
      <c r="K943" s="12"/>
      <c r="L943" s="28" t="str">
        <f aca="false">IF(AND(ISNUMBER(J943),ISNUMBER(K943),N(J943)&gt;0),1-K943/J943,"")</f>
        <v/>
      </c>
      <c r="M943" s="29"/>
      <c r="N943" s="30"/>
      <c r="O943" s="30"/>
      <c r="P943" s="11"/>
      <c r="Q943" s="31"/>
      <c r="R943" s="11"/>
      <c r="S943" s="11"/>
      <c r="T943" s="11"/>
      <c r="U943" s="32" t="str">
        <f aca="false">IF((LEN(A943)+LEN(B943)+LEN(C943)+LEN(D943)+LEN(E943)+LEN(F943)+LEN(G943)+LEN(H943)+LEN(I943)+LEN(J943)+LEN(K943)+LEN(M943)+LEN(N943)+LEN(O943)+LEN(P943)+LEN(Q943)+LEN(R943)+LEN(S943)+LEN(T943))=0,"",IF(OR(A943="",B943="",C943="",D943="",E943="",J943="",K943="",N943=""),"⚠ Champ obligatoire manquant",IF(AND(ISNUMBER(K943),ISNUMBER(J943),N(K943)&gt;N(J943)),"⚠ Prix Autopiec &gt; prix public",IF(COUNTIFS($A$2:$A$1001,A943,$B$2:$B$1001,B943)&gt;1,"⚠ Référence en double","✔ OK"))))</f>
        <v/>
      </c>
    </row>
    <row r="944" customFormat="false" ht="15" hidden="false" customHeight="false" outlineLevel="0" collapsed="false">
      <c r="A944" s="11"/>
      <c r="B944" s="27"/>
      <c r="C944" s="11"/>
      <c r="D944" s="11"/>
      <c r="E944" s="11"/>
      <c r="F944" s="27"/>
      <c r="G944" s="27"/>
      <c r="H944" s="11"/>
      <c r="I944" s="11"/>
      <c r="J944" s="12"/>
      <c r="K944" s="12"/>
      <c r="L944" s="28" t="str">
        <f aca="false">IF(AND(ISNUMBER(J944),ISNUMBER(K944),N(J944)&gt;0),1-K944/J944,"")</f>
        <v/>
      </c>
      <c r="M944" s="29"/>
      <c r="N944" s="30"/>
      <c r="O944" s="30"/>
      <c r="P944" s="11"/>
      <c r="Q944" s="31"/>
      <c r="R944" s="11"/>
      <c r="S944" s="11"/>
      <c r="T944" s="11"/>
      <c r="U944" s="32" t="str">
        <f aca="false">IF((LEN(A944)+LEN(B944)+LEN(C944)+LEN(D944)+LEN(E944)+LEN(F944)+LEN(G944)+LEN(H944)+LEN(I944)+LEN(J944)+LEN(K944)+LEN(M944)+LEN(N944)+LEN(O944)+LEN(P944)+LEN(Q944)+LEN(R944)+LEN(S944)+LEN(T944))=0,"",IF(OR(A944="",B944="",C944="",D944="",E944="",J944="",K944="",N944=""),"⚠ Champ obligatoire manquant",IF(AND(ISNUMBER(K944),ISNUMBER(J944),N(K944)&gt;N(J944)),"⚠ Prix Autopiec &gt; prix public",IF(COUNTIFS($A$2:$A$1001,A944,$B$2:$B$1001,B944)&gt;1,"⚠ Référence en double","✔ OK"))))</f>
        <v/>
      </c>
    </row>
    <row r="945" customFormat="false" ht="15" hidden="false" customHeight="false" outlineLevel="0" collapsed="false">
      <c r="A945" s="11"/>
      <c r="B945" s="27"/>
      <c r="C945" s="11"/>
      <c r="D945" s="11"/>
      <c r="E945" s="11"/>
      <c r="F945" s="27"/>
      <c r="G945" s="27"/>
      <c r="H945" s="11"/>
      <c r="I945" s="11"/>
      <c r="J945" s="12"/>
      <c r="K945" s="12"/>
      <c r="L945" s="28" t="str">
        <f aca="false">IF(AND(ISNUMBER(J945),ISNUMBER(K945),N(J945)&gt;0),1-K945/J945,"")</f>
        <v/>
      </c>
      <c r="M945" s="29"/>
      <c r="N945" s="30"/>
      <c r="O945" s="30"/>
      <c r="P945" s="11"/>
      <c r="Q945" s="31"/>
      <c r="R945" s="11"/>
      <c r="S945" s="11"/>
      <c r="T945" s="11"/>
      <c r="U945" s="32" t="str">
        <f aca="false">IF((LEN(A945)+LEN(B945)+LEN(C945)+LEN(D945)+LEN(E945)+LEN(F945)+LEN(G945)+LEN(H945)+LEN(I945)+LEN(J945)+LEN(K945)+LEN(M945)+LEN(N945)+LEN(O945)+LEN(P945)+LEN(Q945)+LEN(R945)+LEN(S945)+LEN(T945))=0,"",IF(OR(A945="",B945="",C945="",D945="",E945="",J945="",K945="",N945=""),"⚠ Champ obligatoire manquant",IF(AND(ISNUMBER(K945),ISNUMBER(J945),N(K945)&gt;N(J945)),"⚠ Prix Autopiec &gt; prix public",IF(COUNTIFS($A$2:$A$1001,A945,$B$2:$B$1001,B945)&gt;1,"⚠ Référence en double","✔ OK"))))</f>
        <v/>
      </c>
    </row>
    <row r="946" customFormat="false" ht="15" hidden="false" customHeight="false" outlineLevel="0" collapsed="false">
      <c r="A946" s="11"/>
      <c r="B946" s="27"/>
      <c r="C946" s="11"/>
      <c r="D946" s="11"/>
      <c r="E946" s="11"/>
      <c r="F946" s="27"/>
      <c r="G946" s="27"/>
      <c r="H946" s="11"/>
      <c r="I946" s="11"/>
      <c r="J946" s="12"/>
      <c r="K946" s="12"/>
      <c r="L946" s="28" t="str">
        <f aca="false">IF(AND(ISNUMBER(J946),ISNUMBER(K946),N(J946)&gt;0),1-K946/J946,"")</f>
        <v/>
      </c>
      <c r="M946" s="29"/>
      <c r="N946" s="30"/>
      <c r="O946" s="30"/>
      <c r="P946" s="11"/>
      <c r="Q946" s="31"/>
      <c r="R946" s="11"/>
      <c r="S946" s="11"/>
      <c r="T946" s="11"/>
      <c r="U946" s="32" t="str">
        <f aca="false">IF((LEN(A946)+LEN(B946)+LEN(C946)+LEN(D946)+LEN(E946)+LEN(F946)+LEN(G946)+LEN(H946)+LEN(I946)+LEN(J946)+LEN(K946)+LEN(M946)+LEN(N946)+LEN(O946)+LEN(P946)+LEN(Q946)+LEN(R946)+LEN(S946)+LEN(T946))=0,"",IF(OR(A946="",B946="",C946="",D946="",E946="",J946="",K946="",N946=""),"⚠ Champ obligatoire manquant",IF(AND(ISNUMBER(K946),ISNUMBER(J946),N(K946)&gt;N(J946)),"⚠ Prix Autopiec &gt; prix public",IF(COUNTIFS($A$2:$A$1001,A946,$B$2:$B$1001,B946)&gt;1,"⚠ Référence en double","✔ OK"))))</f>
        <v/>
      </c>
    </row>
    <row r="947" customFormat="false" ht="15" hidden="false" customHeight="false" outlineLevel="0" collapsed="false">
      <c r="A947" s="11"/>
      <c r="B947" s="27"/>
      <c r="C947" s="11"/>
      <c r="D947" s="11"/>
      <c r="E947" s="11"/>
      <c r="F947" s="27"/>
      <c r="G947" s="27"/>
      <c r="H947" s="11"/>
      <c r="I947" s="11"/>
      <c r="J947" s="12"/>
      <c r="K947" s="12"/>
      <c r="L947" s="28" t="str">
        <f aca="false">IF(AND(ISNUMBER(J947),ISNUMBER(K947),N(J947)&gt;0),1-K947/J947,"")</f>
        <v/>
      </c>
      <c r="M947" s="29"/>
      <c r="N947" s="30"/>
      <c r="O947" s="30"/>
      <c r="P947" s="11"/>
      <c r="Q947" s="31"/>
      <c r="R947" s="11"/>
      <c r="S947" s="11"/>
      <c r="T947" s="11"/>
      <c r="U947" s="32" t="str">
        <f aca="false">IF((LEN(A947)+LEN(B947)+LEN(C947)+LEN(D947)+LEN(E947)+LEN(F947)+LEN(G947)+LEN(H947)+LEN(I947)+LEN(J947)+LEN(K947)+LEN(M947)+LEN(N947)+LEN(O947)+LEN(P947)+LEN(Q947)+LEN(R947)+LEN(S947)+LEN(T947))=0,"",IF(OR(A947="",B947="",C947="",D947="",E947="",J947="",K947="",N947=""),"⚠ Champ obligatoire manquant",IF(AND(ISNUMBER(K947),ISNUMBER(J947),N(K947)&gt;N(J947)),"⚠ Prix Autopiec &gt; prix public",IF(COUNTIFS($A$2:$A$1001,A947,$B$2:$B$1001,B947)&gt;1,"⚠ Référence en double","✔ OK"))))</f>
        <v/>
      </c>
    </row>
    <row r="948" customFormat="false" ht="15" hidden="false" customHeight="false" outlineLevel="0" collapsed="false">
      <c r="A948" s="11"/>
      <c r="B948" s="27"/>
      <c r="C948" s="11"/>
      <c r="D948" s="11"/>
      <c r="E948" s="11"/>
      <c r="F948" s="27"/>
      <c r="G948" s="27"/>
      <c r="H948" s="11"/>
      <c r="I948" s="11"/>
      <c r="J948" s="12"/>
      <c r="K948" s="12"/>
      <c r="L948" s="28" t="str">
        <f aca="false">IF(AND(ISNUMBER(J948),ISNUMBER(K948),N(J948)&gt;0),1-K948/J948,"")</f>
        <v/>
      </c>
      <c r="M948" s="29"/>
      <c r="N948" s="30"/>
      <c r="O948" s="30"/>
      <c r="P948" s="11"/>
      <c r="Q948" s="31"/>
      <c r="R948" s="11"/>
      <c r="S948" s="11"/>
      <c r="T948" s="11"/>
      <c r="U948" s="32" t="str">
        <f aca="false">IF((LEN(A948)+LEN(B948)+LEN(C948)+LEN(D948)+LEN(E948)+LEN(F948)+LEN(G948)+LEN(H948)+LEN(I948)+LEN(J948)+LEN(K948)+LEN(M948)+LEN(N948)+LEN(O948)+LEN(P948)+LEN(Q948)+LEN(R948)+LEN(S948)+LEN(T948))=0,"",IF(OR(A948="",B948="",C948="",D948="",E948="",J948="",K948="",N948=""),"⚠ Champ obligatoire manquant",IF(AND(ISNUMBER(K948),ISNUMBER(J948),N(K948)&gt;N(J948)),"⚠ Prix Autopiec &gt; prix public",IF(COUNTIFS($A$2:$A$1001,A948,$B$2:$B$1001,B948)&gt;1,"⚠ Référence en double","✔ OK"))))</f>
        <v/>
      </c>
    </row>
    <row r="949" customFormat="false" ht="15" hidden="false" customHeight="false" outlineLevel="0" collapsed="false">
      <c r="A949" s="11"/>
      <c r="B949" s="27"/>
      <c r="C949" s="11"/>
      <c r="D949" s="11"/>
      <c r="E949" s="11"/>
      <c r="F949" s="27"/>
      <c r="G949" s="27"/>
      <c r="H949" s="11"/>
      <c r="I949" s="11"/>
      <c r="J949" s="12"/>
      <c r="K949" s="12"/>
      <c r="L949" s="28" t="str">
        <f aca="false">IF(AND(ISNUMBER(J949),ISNUMBER(K949),N(J949)&gt;0),1-K949/J949,"")</f>
        <v/>
      </c>
      <c r="M949" s="29"/>
      <c r="N949" s="30"/>
      <c r="O949" s="30"/>
      <c r="P949" s="11"/>
      <c r="Q949" s="31"/>
      <c r="R949" s="11"/>
      <c r="S949" s="11"/>
      <c r="T949" s="11"/>
      <c r="U949" s="32" t="str">
        <f aca="false">IF((LEN(A949)+LEN(B949)+LEN(C949)+LEN(D949)+LEN(E949)+LEN(F949)+LEN(G949)+LEN(H949)+LEN(I949)+LEN(J949)+LEN(K949)+LEN(M949)+LEN(N949)+LEN(O949)+LEN(P949)+LEN(Q949)+LEN(R949)+LEN(S949)+LEN(T949))=0,"",IF(OR(A949="",B949="",C949="",D949="",E949="",J949="",K949="",N949=""),"⚠ Champ obligatoire manquant",IF(AND(ISNUMBER(K949),ISNUMBER(J949),N(K949)&gt;N(J949)),"⚠ Prix Autopiec &gt; prix public",IF(COUNTIFS($A$2:$A$1001,A949,$B$2:$B$1001,B949)&gt;1,"⚠ Référence en double","✔ OK"))))</f>
        <v/>
      </c>
    </row>
    <row r="950" customFormat="false" ht="15" hidden="false" customHeight="false" outlineLevel="0" collapsed="false">
      <c r="A950" s="11"/>
      <c r="B950" s="27"/>
      <c r="C950" s="11"/>
      <c r="D950" s="11"/>
      <c r="E950" s="11"/>
      <c r="F950" s="27"/>
      <c r="G950" s="27"/>
      <c r="H950" s="11"/>
      <c r="I950" s="11"/>
      <c r="J950" s="12"/>
      <c r="K950" s="12"/>
      <c r="L950" s="28" t="str">
        <f aca="false">IF(AND(ISNUMBER(J950),ISNUMBER(K950),N(J950)&gt;0),1-K950/J950,"")</f>
        <v/>
      </c>
      <c r="M950" s="29"/>
      <c r="N950" s="30"/>
      <c r="O950" s="30"/>
      <c r="P950" s="11"/>
      <c r="Q950" s="31"/>
      <c r="R950" s="11"/>
      <c r="S950" s="11"/>
      <c r="T950" s="11"/>
      <c r="U950" s="32" t="str">
        <f aca="false">IF((LEN(A950)+LEN(B950)+LEN(C950)+LEN(D950)+LEN(E950)+LEN(F950)+LEN(G950)+LEN(H950)+LEN(I950)+LEN(J950)+LEN(K950)+LEN(M950)+LEN(N950)+LEN(O950)+LEN(P950)+LEN(Q950)+LEN(R950)+LEN(S950)+LEN(T950))=0,"",IF(OR(A950="",B950="",C950="",D950="",E950="",J950="",K950="",N950=""),"⚠ Champ obligatoire manquant",IF(AND(ISNUMBER(K950),ISNUMBER(J950),N(K950)&gt;N(J950)),"⚠ Prix Autopiec &gt; prix public",IF(COUNTIFS($A$2:$A$1001,A950,$B$2:$B$1001,B950)&gt;1,"⚠ Référence en double","✔ OK"))))</f>
        <v/>
      </c>
    </row>
    <row r="951" customFormat="false" ht="15" hidden="false" customHeight="false" outlineLevel="0" collapsed="false">
      <c r="A951" s="11"/>
      <c r="B951" s="27"/>
      <c r="C951" s="11"/>
      <c r="D951" s="11"/>
      <c r="E951" s="11"/>
      <c r="F951" s="27"/>
      <c r="G951" s="27"/>
      <c r="H951" s="11"/>
      <c r="I951" s="11"/>
      <c r="J951" s="12"/>
      <c r="K951" s="12"/>
      <c r="L951" s="28" t="str">
        <f aca="false">IF(AND(ISNUMBER(J951),ISNUMBER(K951),N(J951)&gt;0),1-K951/J951,"")</f>
        <v/>
      </c>
      <c r="M951" s="29"/>
      <c r="N951" s="30"/>
      <c r="O951" s="30"/>
      <c r="P951" s="11"/>
      <c r="Q951" s="31"/>
      <c r="R951" s="11"/>
      <c r="S951" s="11"/>
      <c r="T951" s="11"/>
      <c r="U951" s="32" t="str">
        <f aca="false">IF((LEN(A951)+LEN(B951)+LEN(C951)+LEN(D951)+LEN(E951)+LEN(F951)+LEN(G951)+LEN(H951)+LEN(I951)+LEN(J951)+LEN(K951)+LEN(M951)+LEN(N951)+LEN(O951)+LEN(P951)+LEN(Q951)+LEN(R951)+LEN(S951)+LEN(T951))=0,"",IF(OR(A951="",B951="",C951="",D951="",E951="",J951="",K951="",N951=""),"⚠ Champ obligatoire manquant",IF(AND(ISNUMBER(K951),ISNUMBER(J951),N(K951)&gt;N(J951)),"⚠ Prix Autopiec &gt; prix public",IF(COUNTIFS($A$2:$A$1001,A951,$B$2:$B$1001,B951)&gt;1,"⚠ Référence en double","✔ OK"))))</f>
        <v/>
      </c>
    </row>
    <row r="952" customFormat="false" ht="15" hidden="false" customHeight="false" outlineLevel="0" collapsed="false">
      <c r="A952" s="11"/>
      <c r="B952" s="27"/>
      <c r="C952" s="11"/>
      <c r="D952" s="11"/>
      <c r="E952" s="11"/>
      <c r="F952" s="27"/>
      <c r="G952" s="27"/>
      <c r="H952" s="11"/>
      <c r="I952" s="11"/>
      <c r="J952" s="12"/>
      <c r="K952" s="12"/>
      <c r="L952" s="28" t="str">
        <f aca="false">IF(AND(ISNUMBER(J952),ISNUMBER(K952),N(J952)&gt;0),1-K952/J952,"")</f>
        <v/>
      </c>
      <c r="M952" s="29"/>
      <c r="N952" s="30"/>
      <c r="O952" s="30"/>
      <c r="P952" s="11"/>
      <c r="Q952" s="31"/>
      <c r="R952" s="11"/>
      <c r="S952" s="11"/>
      <c r="T952" s="11"/>
      <c r="U952" s="32" t="str">
        <f aca="false">IF((LEN(A952)+LEN(B952)+LEN(C952)+LEN(D952)+LEN(E952)+LEN(F952)+LEN(G952)+LEN(H952)+LEN(I952)+LEN(J952)+LEN(K952)+LEN(M952)+LEN(N952)+LEN(O952)+LEN(P952)+LEN(Q952)+LEN(R952)+LEN(S952)+LEN(T952))=0,"",IF(OR(A952="",B952="",C952="",D952="",E952="",J952="",K952="",N952=""),"⚠ Champ obligatoire manquant",IF(AND(ISNUMBER(K952),ISNUMBER(J952),N(K952)&gt;N(J952)),"⚠ Prix Autopiec &gt; prix public",IF(COUNTIFS($A$2:$A$1001,A952,$B$2:$B$1001,B952)&gt;1,"⚠ Référence en double","✔ OK"))))</f>
        <v/>
      </c>
    </row>
    <row r="953" customFormat="false" ht="15" hidden="false" customHeight="false" outlineLevel="0" collapsed="false">
      <c r="A953" s="11"/>
      <c r="B953" s="27"/>
      <c r="C953" s="11"/>
      <c r="D953" s="11"/>
      <c r="E953" s="11"/>
      <c r="F953" s="27"/>
      <c r="G953" s="27"/>
      <c r="H953" s="11"/>
      <c r="I953" s="11"/>
      <c r="J953" s="12"/>
      <c r="K953" s="12"/>
      <c r="L953" s="28" t="str">
        <f aca="false">IF(AND(ISNUMBER(J953),ISNUMBER(K953),N(J953)&gt;0),1-K953/J953,"")</f>
        <v/>
      </c>
      <c r="M953" s="29"/>
      <c r="N953" s="30"/>
      <c r="O953" s="30"/>
      <c r="P953" s="11"/>
      <c r="Q953" s="31"/>
      <c r="R953" s="11"/>
      <c r="S953" s="11"/>
      <c r="T953" s="11"/>
      <c r="U953" s="32" t="str">
        <f aca="false">IF((LEN(A953)+LEN(B953)+LEN(C953)+LEN(D953)+LEN(E953)+LEN(F953)+LEN(G953)+LEN(H953)+LEN(I953)+LEN(J953)+LEN(K953)+LEN(M953)+LEN(N953)+LEN(O953)+LEN(P953)+LEN(Q953)+LEN(R953)+LEN(S953)+LEN(T953))=0,"",IF(OR(A953="",B953="",C953="",D953="",E953="",J953="",K953="",N953=""),"⚠ Champ obligatoire manquant",IF(AND(ISNUMBER(K953),ISNUMBER(J953),N(K953)&gt;N(J953)),"⚠ Prix Autopiec &gt; prix public",IF(COUNTIFS($A$2:$A$1001,A953,$B$2:$B$1001,B953)&gt;1,"⚠ Référence en double","✔ OK"))))</f>
        <v/>
      </c>
    </row>
    <row r="954" customFormat="false" ht="15" hidden="false" customHeight="false" outlineLevel="0" collapsed="false">
      <c r="A954" s="11"/>
      <c r="B954" s="27"/>
      <c r="C954" s="11"/>
      <c r="D954" s="11"/>
      <c r="E954" s="11"/>
      <c r="F954" s="27"/>
      <c r="G954" s="27"/>
      <c r="H954" s="11"/>
      <c r="I954" s="11"/>
      <c r="J954" s="12"/>
      <c r="K954" s="12"/>
      <c r="L954" s="28" t="str">
        <f aca="false">IF(AND(ISNUMBER(J954),ISNUMBER(K954),N(J954)&gt;0),1-K954/J954,"")</f>
        <v/>
      </c>
      <c r="M954" s="29"/>
      <c r="N954" s="30"/>
      <c r="O954" s="30"/>
      <c r="P954" s="11"/>
      <c r="Q954" s="31"/>
      <c r="R954" s="11"/>
      <c r="S954" s="11"/>
      <c r="T954" s="11"/>
      <c r="U954" s="32" t="str">
        <f aca="false">IF((LEN(A954)+LEN(B954)+LEN(C954)+LEN(D954)+LEN(E954)+LEN(F954)+LEN(G954)+LEN(H954)+LEN(I954)+LEN(J954)+LEN(K954)+LEN(M954)+LEN(N954)+LEN(O954)+LEN(P954)+LEN(Q954)+LEN(R954)+LEN(S954)+LEN(T954))=0,"",IF(OR(A954="",B954="",C954="",D954="",E954="",J954="",K954="",N954=""),"⚠ Champ obligatoire manquant",IF(AND(ISNUMBER(K954),ISNUMBER(J954),N(K954)&gt;N(J954)),"⚠ Prix Autopiec &gt; prix public",IF(COUNTIFS($A$2:$A$1001,A954,$B$2:$B$1001,B954)&gt;1,"⚠ Référence en double","✔ OK"))))</f>
        <v/>
      </c>
    </row>
    <row r="955" customFormat="false" ht="15" hidden="false" customHeight="false" outlineLevel="0" collapsed="false">
      <c r="A955" s="11"/>
      <c r="B955" s="27"/>
      <c r="C955" s="11"/>
      <c r="D955" s="11"/>
      <c r="E955" s="11"/>
      <c r="F955" s="27"/>
      <c r="G955" s="27"/>
      <c r="H955" s="11"/>
      <c r="I955" s="11"/>
      <c r="J955" s="12"/>
      <c r="K955" s="12"/>
      <c r="L955" s="28" t="str">
        <f aca="false">IF(AND(ISNUMBER(J955),ISNUMBER(K955),N(J955)&gt;0),1-K955/J955,"")</f>
        <v/>
      </c>
      <c r="M955" s="29"/>
      <c r="N955" s="30"/>
      <c r="O955" s="30"/>
      <c r="P955" s="11"/>
      <c r="Q955" s="31"/>
      <c r="R955" s="11"/>
      <c r="S955" s="11"/>
      <c r="T955" s="11"/>
      <c r="U955" s="32" t="str">
        <f aca="false">IF((LEN(A955)+LEN(B955)+LEN(C955)+LEN(D955)+LEN(E955)+LEN(F955)+LEN(G955)+LEN(H955)+LEN(I955)+LEN(J955)+LEN(K955)+LEN(M955)+LEN(N955)+LEN(O955)+LEN(P955)+LEN(Q955)+LEN(R955)+LEN(S955)+LEN(T955))=0,"",IF(OR(A955="",B955="",C955="",D955="",E955="",J955="",K955="",N955=""),"⚠ Champ obligatoire manquant",IF(AND(ISNUMBER(K955),ISNUMBER(J955),N(K955)&gt;N(J955)),"⚠ Prix Autopiec &gt; prix public",IF(COUNTIFS($A$2:$A$1001,A955,$B$2:$B$1001,B955)&gt;1,"⚠ Référence en double","✔ OK"))))</f>
        <v/>
      </c>
    </row>
    <row r="956" customFormat="false" ht="15" hidden="false" customHeight="false" outlineLevel="0" collapsed="false">
      <c r="A956" s="11"/>
      <c r="B956" s="27"/>
      <c r="C956" s="11"/>
      <c r="D956" s="11"/>
      <c r="E956" s="11"/>
      <c r="F956" s="27"/>
      <c r="G956" s="27"/>
      <c r="H956" s="11"/>
      <c r="I956" s="11"/>
      <c r="J956" s="12"/>
      <c r="K956" s="12"/>
      <c r="L956" s="28" t="str">
        <f aca="false">IF(AND(ISNUMBER(J956),ISNUMBER(K956),N(J956)&gt;0),1-K956/J956,"")</f>
        <v/>
      </c>
      <c r="M956" s="29"/>
      <c r="N956" s="30"/>
      <c r="O956" s="30"/>
      <c r="P956" s="11"/>
      <c r="Q956" s="31"/>
      <c r="R956" s="11"/>
      <c r="S956" s="11"/>
      <c r="T956" s="11"/>
      <c r="U956" s="32" t="str">
        <f aca="false">IF((LEN(A956)+LEN(B956)+LEN(C956)+LEN(D956)+LEN(E956)+LEN(F956)+LEN(G956)+LEN(H956)+LEN(I956)+LEN(J956)+LEN(K956)+LEN(M956)+LEN(N956)+LEN(O956)+LEN(P956)+LEN(Q956)+LEN(R956)+LEN(S956)+LEN(T956))=0,"",IF(OR(A956="",B956="",C956="",D956="",E956="",J956="",K956="",N956=""),"⚠ Champ obligatoire manquant",IF(AND(ISNUMBER(K956),ISNUMBER(J956),N(K956)&gt;N(J956)),"⚠ Prix Autopiec &gt; prix public",IF(COUNTIFS($A$2:$A$1001,A956,$B$2:$B$1001,B956)&gt;1,"⚠ Référence en double","✔ OK"))))</f>
        <v/>
      </c>
    </row>
    <row r="957" customFormat="false" ht="15" hidden="false" customHeight="false" outlineLevel="0" collapsed="false">
      <c r="A957" s="11"/>
      <c r="B957" s="27"/>
      <c r="C957" s="11"/>
      <c r="D957" s="11"/>
      <c r="E957" s="11"/>
      <c r="F957" s="27"/>
      <c r="G957" s="27"/>
      <c r="H957" s="11"/>
      <c r="I957" s="11"/>
      <c r="J957" s="12"/>
      <c r="K957" s="12"/>
      <c r="L957" s="28" t="str">
        <f aca="false">IF(AND(ISNUMBER(J957),ISNUMBER(K957),N(J957)&gt;0),1-K957/J957,"")</f>
        <v/>
      </c>
      <c r="M957" s="29"/>
      <c r="N957" s="30"/>
      <c r="O957" s="30"/>
      <c r="P957" s="11"/>
      <c r="Q957" s="31"/>
      <c r="R957" s="11"/>
      <c r="S957" s="11"/>
      <c r="T957" s="11"/>
      <c r="U957" s="32" t="str">
        <f aca="false">IF((LEN(A957)+LEN(B957)+LEN(C957)+LEN(D957)+LEN(E957)+LEN(F957)+LEN(G957)+LEN(H957)+LEN(I957)+LEN(J957)+LEN(K957)+LEN(M957)+LEN(N957)+LEN(O957)+LEN(P957)+LEN(Q957)+LEN(R957)+LEN(S957)+LEN(T957))=0,"",IF(OR(A957="",B957="",C957="",D957="",E957="",J957="",K957="",N957=""),"⚠ Champ obligatoire manquant",IF(AND(ISNUMBER(K957),ISNUMBER(J957),N(K957)&gt;N(J957)),"⚠ Prix Autopiec &gt; prix public",IF(COUNTIFS($A$2:$A$1001,A957,$B$2:$B$1001,B957)&gt;1,"⚠ Référence en double","✔ OK"))))</f>
        <v/>
      </c>
    </row>
    <row r="958" customFormat="false" ht="15" hidden="false" customHeight="false" outlineLevel="0" collapsed="false">
      <c r="A958" s="11"/>
      <c r="B958" s="27"/>
      <c r="C958" s="11"/>
      <c r="D958" s="11"/>
      <c r="E958" s="11"/>
      <c r="F958" s="27"/>
      <c r="G958" s="27"/>
      <c r="H958" s="11"/>
      <c r="I958" s="11"/>
      <c r="J958" s="12"/>
      <c r="K958" s="12"/>
      <c r="L958" s="28" t="str">
        <f aca="false">IF(AND(ISNUMBER(J958),ISNUMBER(K958),N(J958)&gt;0),1-K958/J958,"")</f>
        <v/>
      </c>
      <c r="M958" s="29"/>
      <c r="N958" s="30"/>
      <c r="O958" s="30"/>
      <c r="P958" s="11"/>
      <c r="Q958" s="31"/>
      <c r="R958" s="11"/>
      <c r="S958" s="11"/>
      <c r="T958" s="11"/>
      <c r="U958" s="32" t="str">
        <f aca="false">IF((LEN(A958)+LEN(B958)+LEN(C958)+LEN(D958)+LEN(E958)+LEN(F958)+LEN(G958)+LEN(H958)+LEN(I958)+LEN(J958)+LEN(K958)+LEN(M958)+LEN(N958)+LEN(O958)+LEN(P958)+LEN(Q958)+LEN(R958)+LEN(S958)+LEN(T958))=0,"",IF(OR(A958="",B958="",C958="",D958="",E958="",J958="",K958="",N958=""),"⚠ Champ obligatoire manquant",IF(AND(ISNUMBER(K958),ISNUMBER(J958),N(K958)&gt;N(J958)),"⚠ Prix Autopiec &gt; prix public",IF(COUNTIFS($A$2:$A$1001,A958,$B$2:$B$1001,B958)&gt;1,"⚠ Référence en double","✔ OK"))))</f>
        <v/>
      </c>
    </row>
    <row r="959" customFormat="false" ht="15" hidden="false" customHeight="false" outlineLevel="0" collapsed="false">
      <c r="A959" s="11"/>
      <c r="B959" s="27"/>
      <c r="C959" s="11"/>
      <c r="D959" s="11"/>
      <c r="E959" s="11"/>
      <c r="F959" s="27"/>
      <c r="G959" s="27"/>
      <c r="H959" s="11"/>
      <c r="I959" s="11"/>
      <c r="J959" s="12"/>
      <c r="K959" s="12"/>
      <c r="L959" s="28" t="str">
        <f aca="false">IF(AND(ISNUMBER(J959),ISNUMBER(K959),N(J959)&gt;0),1-K959/J959,"")</f>
        <v/>
      </c>
      <c r="M959" s="29"/>
      <c r="N959" s="30"/>
      <c r="O959" s="30"/>
      <c r="P959" s="11"/>
      <c r="Q959" s="31"/>
      <c r="R959" s="11"/>
      <c r="S959" s="11"/>
      <c r="T959" s="11"/>
      <c r="U959" s="32" t="str">
        <f aca="false">IF((LEN(A959)+LEN(B959)+LEN(C959)+LEN(D959)+LEN(E959)+LEN(F959)+LEN(G959)+LEN(H959)+LEN(I959)+LEN(J959)+LEN(K959)+LEN(M959)+LEN(N959)+LEN(O959)+LEN(P959)+LEN(Q959)+LEN(R959)+LEN(S959)+LEN(T959))=0,"",IF(OR(A959="",B959="",C959="",D959="",E959="",J959="",K959="",N959=""),"⚠ Champ obligatoire manquant",IF(AND(ISNUMBER(K959),ISNUMBER(J959),N(K959)&gt;N(J959)),"⚠ Prix Autopiec &gt; prix public",IF(COUNTIFS($A$2:$A$1001,A959,$B$2:$B$1001,B959)&gt;1,"⚠ Référence en double","✔ OK"))))</f>
        <v/>
      </c>
    </row>
    <row r="960" customFormat="false" ht="15" hidden="false" customHeight="false" outlineLevel="0" collapsed="false">
      <c r="A960" s="11"/>
      <c r="B960" s="27"/>
      <c r="C960" s="11"/>
      <c r="D960" s="11"/>
      <c r="E960" s="11"/>
      <c r="F960" s="27"/>
      <c r="G960" s="27"/>
      <c r="H960" s="11"/>
      <c r="I960" s="11"/>
      <c r="J960" s="12"/>
      <c r="K960" s="12"/>
      <c r="L960" s="28" t="str">
        <f aca="false">IF(AND(ISNUMBER(J960),ISNUMBER(K960),N(J960)&gt;0),1-K960/J960,"")</f>
        <v/>
      </c>
      <c r="M960" s="29"/>
      <c r="N960" s="30"/>
      <c r="O960" s="30"/>
      <c r="P960" s="11"/>
      <c r="Q960" s="31"/>
      <c r="R960" s="11"/>
      <c r="S960" s="11"/>
      <c r="T960" s="11"/>
      <c r="U960" s="32" t="str">
        <f aca="false">IF((LEN(A960)+LEN(B960)+LEN(C960)+LEN(D960)+LEN(E960)+LEN(F960)+LEN(G960)+LEN(H960)+LEN(I960)+LEN(J960)+LEN(K960)+LEN(M960)+LEN(N960)+LEN(O960)+LEN(P960)+LEN(Q960)+LEN(R960)+LEN(S960)+LEN(T960))=0,"",IF(OR(A960="",B960="",C960="",D960="",E960="",J960="",K960="",N960=""),"⚠ Champ obligatoire manquant",IF(AND(ISNUMBER(K960),ISNUMBER(J960),N(K960)&gt;N(J960)),"⚠ Prix Autopiec &gt; prix public",IF(COUNTIFS($A$2:$A$1001,A960,$B$2:$B$1001,B960)&gt;1,"⚠ Référence en double","✔ OK"))))</f>
        <v/>
      </c>
    </row>
    <row r="961" customFormat="false" ht="15" hidden="false" customHeight="false" outlineLevel="0" collapsed="false">
      <c r="A961" s="11"/>
      <c r="B961" s="27"/>
      <c r="C961" s="11"/>
      <c r="D961" s="11"/>
      <c r="E961" s="11"/>
      <c r="F961" s="27"/>
      <c r="G961" s="27"/>
      <c r="H961" s="11"/>
      <c r="I961" s="11"/>
      <c r="J961" s="12"/>
      <c r="K961" s="12"/>
      <c r="L961" s="28" t="str">
        <f aca="false">IF(AND(ISNUMBER(J961),ISNUMBER(K961),N(J961)&gt;0),1-K961/J961,"")</f>
        <v/>
      </c>
      <c r="M961" s="29"/>
      <c r="N961" s="30"/>
      <c r="O961" s="30"/>
      <c r="P961" s="11"/>
      <c r="Q961" s="31"/>
      <c r="R961" s="11"/>
      <c r="S961" s="11"/>
      <c r="T961" s="11"/>
      <c r="U961" s="32" t="str">
        <f aca="false">IF((LEN(A961)+LEN(B961)+LEN(C961)+LEN(D961)+LEN(E961)+LEN(F961)+LEN(G961)+LEN(H961)+LEN(I961)+LEN(J961)+LEN(K961)+LEN(M961)+LEN(N961)+LEN(O961)+LEN(P961)+LEN(Q961)+LEN(R961)+LEN(S961)+LEN(T961))=0,"",IF(OR(A961="",B961="",C961="",D961="",E961="",J961="",K961="",N961=""),"⚠ Champ obligatoire manquant",IF(AND(ISNUMBER(K961),ISNUMBER(J961),N(K961)&gt;N(J961)),"⚠ Prix Autopiec &gt; prix public",IF(COUNTIFS($A$2:$A$1001,A961,$B$2:$B$1001,B961)&gt;1,"⚠ Référence en double","✔ OK"))))</f>
        <v/>
      </c>
    </row>
    <row r="962" customFormat="false" ht="15" hidden="false" customHeight="false" outlineLevel="0" collapsed="false">
      <c r="A962" s="11"/>
      <c r="B962" s="27"/>
      <c r="C962" s="11"/>
      <c r="D962" s="11"/>
      <c r="E962" s="11"/>
      <c r="F962" s="27"/>
      <c r="G962" s="27"/>
      <c r="H962" s="11"/>
      <c r="I962" s="11"/>
      <c r="J962" s="12"/>
      <c r="K962" s="12"/>
      <c r="L962" s="28" t="str">
        <f aca="false">IF(AND(ISNUMBER(J962),ISNUMBER(K962),N(J962)&gt;0),1-K962/J962,"")</f>
        <v/>
      </c>
      <c r="M962" s="29"/>
      <c r="N962" s="30"/>
      <c r="O962" s="30"/>
      <c r="P962" s="11"/>
      <c r="Q962" s="31"/>
      <c r="R962" s="11"/>
      <c r="S962" s="11"/>
      <c r="T962" s="11"/>
      <c r="U962" s="32" t="str">
        <f aca="false">IF((LEN(A962)+LEN(B962)+LEN(C962)+LEN(D962)+LEN(E962)+LEN(F962)+LEN(G962)+LEN(H962)+LEN(I962)+LEN(J962)+LEN(K962)+LEN(M962)+LEN(N962)+LEN(O962)+LEN(P962)+LEN(Q962)+LEN(R962)+LEN(S962)+LEN(T962))=0,"",IF(OR(A962="",B962="",C962="",D962="",E962="",J962="",K962="",N962=""),"⚠ Champ obligatoire manquant",IF(AND(ISNUMBER(K962),ISNUMBER(J962),N(K962)&gt;N(J962)),"⚠ Prix Autopiec &gt; prix public",IF(COUNTIFS($A$2:$A$1001,A962,$B$2:$B$1001,B962)&gt;1,"⚠ Référence en double","✔ OK"))))</f>
        <v/>
      </c>
    </row>
    <row r="963" customFormat="false" ht="15" hidden="false" customHeight="false" outlineLevel="0" collapsed="false">
      <c r="A963" s="11"/>
      <c r="B963" s="27"/>
      <c r="C963" s="11"/>
      <c r="D963" s="11"/>
      <c r="E963" s="11"/>
      <c r="F963" s="27"/>
      <c r="G963" s="27"/>
      <c r="H963" s="11"/>
      <c r="I963" s="11"/>
      <c r="J963" s="12"/>
      <c r="K963" s="12"/>
      <c r="L963" s="28" t="str">
        <f aca="false">IF(AND(ISNUMBER(J963),ISNUMBER(K963),N(J963)&gt;0),1-K963/J963,"")</f>
        <v/>
      </c>
      <c r="M963" s="29"/>
      <c r="N963" s="30"/>
      <c r="O963" s="30"/>
      <c r="P963" s="11"/>
      <c r="Q963" s="31"/>
      <c r="R963" s="11"/>
      <c r="S963" s="11"/>
      <c r="T963" s="11"/>
      <c r="U963" s="32" t="str">
        <f aca="false">IF((LEN(A963)+LEN(B963)+LEN(C963)+LEN(D963)+LEN(E963)+LEN(F963)+LEN(G963)+LEN(H963)+LEN(I963)+LEN(J963)+LEN(K963)+LEN(M963)+LEN(N963)+LEN(O963)+LEN(P963)+LEN(Q963)+LEN(R963)+LEN(S963)+LEN(T963))=0,"",IF(OR(A963="",B963="",C963="",D963="",E963="",J963="",K963="",N963=""),"⚠ Champ obligatoire manquant",IF(AND(ISNUMBER(K963),ISNUMBER(J963),N(K963)&gt;N(J963)),"⚠ Prix Autopiec &gt; prix public",IF(COUNTIFS($A$2:$A$1001,A963,$B$2:$B$1001,B963)&gt;1,"⚠ Référence en double","✔ OK"))))</f>
        <v/>
      </c>
    </row>
    <row r="964" customFormat="false" ht="15" hidden="false" customHeight="false" outlineLevel="0" collapsed="false">
      <c r="A964" s="11"/>
      <c r="B964" s="27"/>
      <c r="C964" s="11"/>
      <c r="D964" s="11"/>
      <c r="E964" s="11"/>
      <c r="F964" s="27"/>
      <c r="G964" s="27"/>
      <c r="H964" s="11"/>
      <c r="I964" s="11"/>
      <c r="J964" s="12"/>
      <c r="K964" s="12"/>
      <c r="L964" s="28" t="str">
        <f aca="false">IF(AND(ISNUMBER(J964),ISNUMBER(K964),N(J964)&gt;0),1-K964/J964,"")</f>
        <v/>
      </c>
      <c r="M964" s="29"/>
      <c r="N964" s="30"/>
      <c r="O964" s="30"/>
      <c r="P964" s="11"/>
      <c r="Q964" s="31"/>
      <c r="R964" s="11"/>
      <c r="S964" s="11"/>
      <c r="T964" s="11"/>
      <c r="U964" s="32" t="str">
        <f aca="false">IF((LEN(A964)+LEN(B964)+LEN(C964)+LEN(D964)+LEN(E964)+LEN(F964)+LEN(G964)+LEN(H964)+LEN(I964)+LEN(J964)+LEN(K964)+LEN(M964)+LEN(N964)+LEN(O964)+LEN(P964)+LEN(Q964)+LEN(R964)+LEN(S964)+LEN(T964))=0,"",IF(OR(A964="",B964="",C964="",D964="",E964="",J964="",K964="",N964=""),"⚠ Champ obligatoire manquant",IF(AND(ISNUMBER(K964),ISNUMBER(J964),N(K964)&gt;N(J964)),"⚠ Prix Autopiec &gt; prix public",IF(COUNTIFS($A$2:$A$1001,A964,$B$2:$B$1001,B964)&gt;1,"⚠ Référence en double","✔ OK"))))</f>
        <v/>
      </c>
    </row>
    <row r="965" customFormat="false" ht="15" hidden="false" customHeight="false" outlineLevel="0" collapsed="false">
      <c r="A965" s="11"/>
      <c r="B965" s="27"/>
      <c r="C965" s="11"/>
      <c r="D965" s="11"/>
      <c r="E965" s="11"/>
      <c r="F965" s="27"/>
      <c r="G965" s="27"/>
      <c r="H965" s="11"/>
      <c r="I965" s="11"/>
      <c r="J965" s="12"/>
      <c r="K965" s="12"/>
      <c r="L965" s="28" t="str">
        <f aca="false">IF(AND(ISNUMBER(J965),ISNUMBER(K965),N(J965)&gt;0),1-K965/J965,"")</f>
        <v/>
      </c>
      <c r="M965" s="29"/>
      <c r="N965" s="30"/>
      <c r="O965" s="30"/>
      <c r="P965" s="11"/>
      <c r="Q965" s="31"/>
      <c r="R965" s="11"/>
      <c r="S965" s="11"/>
      <c r="T965" s="11"/>
      <c r="U965" s="32" t="str">
        <f aca="false">IF((LEN(A965)+LEN(B965)+LEN(C965)+LEN(D965)+LEN(E965)+LEN(F965)+LEN(G965)+LEN(H965)+LEN(I965)+LEN(J965)+LEN(K965)+LEN(M965)+LEN(N965)+LEN(O965)+LEN(P965)+LEN(Q965)+LEN(R965)+LEN(S965)+LEN(T965))=0,"",IF(OR(A965="",B965="",C965="",D965="",E965="",J965="",K965="",N965=""),"⚠ Champ obligatoire manquant",IF(AND(ISNUMBER(K965),ISNUMBER(J965),N(K965)&gt;N(J965)),"⚠ Prix Autopiec &gt; prix public",IF(COUNTIFS($A$2:$A$1001,A965,$B$2:$B$1001,B965)&gt;1,"⚠ Référence en double","✔ OK"))))</f>
        <v/>
      </c>
    </row>
    <row r="966" customFormat="false" ht="15" hidden="false" customHeight="false" outlineLevel="0" collapsed="false">
      <c r="A966" s="11"/>
      <c r="B966" s="27"/>
      <c r="C966" s="11"/>
      <c r="D966" s="11"/>
      <c r="E966" s="11"/>
      <c r="F966" s="27"/>
      <c r="G966" s="27"/>
      <c r="H966" s="11"/>
      <c r="I966" s="11"/>
      <c r="J966" s="12"/>
      <c r="K966" s="12"/>
      <c r="L966" s="28" t="str">
        <f aca="false">IF(AND(ISNUMBER(J966),ISNUMBER(K966),N(J966)&gt;0),1-K966/J966,"")</f>
        <v/>
      </c>
      <c r="M966" s="29"/>
      <c r="N966" s="30"/>
      <c r="O966" s="30"/>
      <c r="P966" s="11"/>
      <c r="Q966" s="31"/>
      <c r="R966" s="11"/>
      <c r="S966" s="11"/>
      <c r="T966" s="11"/>
      <c r="U966" s="32" t="str">
        <f aca="false">IF((LEN(A966)+LEN(B966)+LEN(C966)+LEN(D966)+LEN(E966)+LEN(F966)+LEN(G966)+LEN(H966)+LEN(I966)+LEN(J966)+LEN(K966)+LEN(M966)+LEN(N966)+LEN(O966)+LEN(P966)+LEN(Q966)+LEN(R966)+LEN(S966)+LEN(T966))=0,"",IF(OR(A966="",B966="",C966="",D966="",E966="",J966="",K966="",N966=""),"⚠ Champ obligatoire manquant",IF(AND(ISNUMBER(K966),ISNUMBER(J966),N(K966)&gt;N(J966)),"⚠ Prix Autopiec &gt; prix public",IF(COUNTIFS($A$2:$A$1001,A966,$B$2:$B$1001,B966)&gt;1,"⚠ Référence en double","✔ OK"))))</f>
        <v/>
      </c>
    </row>
    <row r="967" customFormat="false" ht="15" hidden="false" customHeight="false" outlineLevel="0" collapsed="false">
      <c r="A967" s="11"/>
      <c r="B967" s="27"/>
      <c r="C967" s="11"/>
      <c r="D967" s="11"/>
      <c r="E967" s="11"/>
      <c r="F967" s="27"/>
      <c r="G967" s="27"/>
      <c r="H967" s="11"/>
      <c r="I967" s="11"/>
      <c r="J967" s="12"/>
      <c r="K967" s="12"/>
      <c r="L967" s="28" t="str">
        <f aca="false">IF(AND(ISNUMBER(J967),ISNUMBER(K967),N(J967)&gt;0),1-K967/J967,"")</f>
        <v/>
      </c>
      <c r="M967" s="29"/>
      <c r="N967" s="30"/>
      <c r="O967" s="30"/>
      <c r="P967" s="11"/>
      <c r="Q967" s="31"/>
      <c r="R967" s="11"/>
      <c r="S967" s="11"/>
      <c r="T967" s="11"/>
      <c r="U967" s="32" t="str">
        <f aca="false">IF((LEN(A967)+LEN(B967)+LEN(C967)+LEN(D967)+LEN(E967)+LEN(F967)+LEN(G967)+LEN(H967)+LEN(I967)+LEN(J967)+LEN(K967)+LEN(M967)+LEN(N967)+LEN(O967)+LEN(P967)+LEN(Q967)+LEN(R967)+LEN(S967)+LEN(T967))=0,"",IF(OR(A967="",B967="",C967="",D967="",E967="",J967="",K967="",N967=""),"⚠ Champ obligatoire manquant",IF(AND(ISNUMBER(K967),ISNUMBER(J967),N(K967)&gt;N(J967)),"⚠ Prix Autopiec &gt; prix public",IF(COUNTIFS($A$2:$A$1001,A967,$B$2:$B$1001,B967)&gt;1,"⚠ Référence en double","✔ OK"))))</f>
        <v/>
      </c>
    </row>
    <row r="968" customFormat="false" ht="15" hidden="false" customHeight="false" outlineLevel="0" collapsed="false">
      <c r="A968" s="11"/>
      <c r="B968" s="27"/>
      <c r="C968" s="11"/>
      <c r="D968" s="11"/>
      <c r="E968" s="11"/>
      <c r="F968" s="27"/>
      <c r="G968" s="27"/>
      <c r="H968" s="11"/>
      <c r="I968" s="11"/>
      <c r="J968" s="12"/>
      <c r="K968" s="12"/>
      <c r="L968" s="28" t="str">
        <f aca="false">IF(AND(ISNUMBER(J968),ISNUMBER(K968),N(J968)&gt;0),1-K968/J968,"")</f>
        <v/>
      </c>
      <c r="M968" s="29"/>
      <c r="N968" s="30"/>
      <c r="O968" s="30"/>
      <c r="P968" s="11"/>
      <c r="Q968" s="31"/>
      <c r="R968" s="11"/>
      <c r="S968" s="11"/>
      <c r="T968" s="11"/>
      <c r="U968" s="32" t="str">
        <f aca="false">IF((LEN(A968)+LEN(B968)+LEN(C968)+LEN(D968)+LEN(E968)+LEN(F968)+LEN(G968)+LEN(H968)+LEN(I968)+LEN(J968)+LEN(K968)+LEN(M968)+LEN(N968)+LEN(O968)+LEN(P968)+LEN(Q968)+LEN(R968)+LEN(S968)+LEN(T968))=0,"",IF(OR(A968="",B968="",C968="",D968="",E968="",J968="",K968="",N968=""),"⚠ Champ obligatoire manquant",IF(AND(ISNUMBER(K968),ISNUMBER(J968),N(K968)&gt;N(J968)),"⚠ Prix Autopiec &gt; prix public",IF(COUNTIFS($A$2:$A$1001,A968,$B$2:$B$1001,B968)&gt;1,"⚠ Référence en double","✔ OK"))))</f>
        <v/>
      </c>
    </row>
    <row r="969" customFormat="false" ht="15" hidden="false" customHeight="false" outlineLevel="0" collapsed="false">
      <c r="A969" s="11"/>
      <c r="B969" s="27"/>
      <c r="C969" s="11"/>
      <c r="D969" s="11"/>
      <c r="E969" s="11"/>
      <c r="F969" s="27"/>
      <c r="G969" s="27"/>
      <c r="H969" s="11"/>
      <c r="I969" s="11"/>
      <c r="J969" s="12"/>
      <c r="K969" s="12"/>
      <c r="L969" s="28" t="str">
        <f aca="false">IF(AND(ISNUMBER(J969),ISNUMBER(K969),N(J969)&gt;0),1-K969/J969,"")</f>
        <v/>
      </c>
      <c r="M969" s="29"/>
      <c r="N969" s="30"/>
      <c r="O969" s="30"/>
      <c r="P969" s="11"/>
      <c r="Q969" s="31"/>
      <c r="R969" s="11"/>
      <c r="S969" s="11"/>
      <c r="T969" s="11"/>
      <c r="U969" s="32" t="str">
        <f aca="false">IF((LEN(A969)+LEN(B969)+LEN(C969)+LEN(D969)+LEN(E969)+LEN(F969)+LEN(G969)+LEN(H969)+LEN(I969)+LEN(J969)+LEN(K969)+LEN(M969)+LEN(N969)+LEN(O969)+LEN(P969)+LEN(Q969)+LEN(R969)+LEN(S969)+LEN(T969))=0,"",IF(OR(A969="",B969="",C969="",D969="",E969="",J969="",K969="",N969=""),"⚠ Champ obligatoire manquant",IF(AND(ISNUMBER(K969),ISNUMBER(J969),N(K969)&gt;N(J969)),"⚠ Prix Autopiec &gt; prix public",IF(COUNTIFS($A$2:$A$1001,A969,$B$2:$B$1001,B969)&gt;1,"⚠ Référence en double","✔ OK"))))</f>
        <v/>
      </c>
    </row>
    <row r="970" customFormat="false" ht="15" hidden="false" customHeight="false" outlineLevel="0" collapsed="false">
      <c r="A970" s="11"/>
      <c r="B970" s="27"/>
      <c r="C970" s="11"/>
      <c r="D970" s="11"/>
      <c r="E970" s="11"/>
      <c r="F970" s="27"/>
      <c r="G970" s="27"/>
      <c r="H970" s="11"/>
      <c r="I970" s="11"/>
      <c r="J970" s="12"/>
      <c r="K970" s="12"/>
      <c r="L970" s="28" t="str">
        <f aca="false">IF(AND(ISNUMBER(J970),ISNUMBER(K970),N(J970)&gt;0),1-K970/J970,"")</f>
        <v/>
      </c>
      <c r="M970" s="29"/>
      <c r="N970" s="30"/>
      <c r="O970" s="30"/>
      <c r="P970" s="11"/>
      <c r="Q970" s="31"/>
      <c r="R970" s="11"/>
      <c r="S970" s="11"/>
      <c r="T970" s="11"/>
      <c r="U970" s="32" t="str">
        <f aca="false">IF((LEN(A970)+LEN(B970)+LEN(C970)+LEN(D970)+LEN(E970)+LEN(F970)+LEN(G970)+LEN(H970)+LEN(I970)+LEN(J970)+LEN(K970)+LEN(M970)+LEN(N970)+LEN(O970)+LEN(P970)+LEN(Q970)+LEN(R970)+LEN(S970)+LEN(T970))=0,"",IF(OR(A970="",B970="",C970="",D970="",E970="",J970="",K970="",N970=""),"⚠ Champ obligatoire manquant",IF(AND(ISNUMBER(K970),ISNUMBER(J970),N(K970)&gt;N(J970)),"⚠ Prix Autopiec &gt; prix public",IF(COUNTIFS($A$2:$A$1001,A970,$B$2:$B$1001,B970)&gt;1,"⚠ Référence en double","✔ OK"))))</f>
        <v/>
      </c>
    </row>
    <row r="971" customFormat="false" ht="15" hidden="false" customHeight="false" outlineLevel="0" collapsed="false">
      <c r="A971" s="11"/>
      <c r="B971" s="27"/>
      <c r="C971" s="11"/>
      <c r="D971" s="11"/>
      <c r="E971" s="11"/>
      <c r="F971" s="27"/>
      <c r="G971" s="27"/>
      <c r="H971" s="11"/>
      <c r="I971" s="11"/>
      <c r="J971" s="12"/>
      <c r="K971" s="12"/>
      <c r="L971" s="28" t="str">
        <f aca="false">IF(AND(ISNUMBER(J971),ISNUMBER(K971),N(J971)&gt;0),1-K971/J971,"")</f>
        <v/>
      </c>
      <c r="M971" s="29"/>
      <c r="N971" s="30"/>
      <c r="O971" s="30"/>
      <c r="P971" s="11"/>
      <c r="Q971" s="31"/>
      <c r="R971" s="11"/>
      <c r="S971" s="11"/>
      <c r="T971" s="11"/>
      <c r="U971" s="32" t="str">
        <f aca="false">IF((LEN(A971)+LEN(B971)+LEN(C971)+LEN(D971)+LEN(E971)+LEN(F971)+LEN(G971)+LEN(H971)+LEN(I971)+LEN(J971)+LEN(K971)+LEN(M971)+LEN(N971)+LEN(O971)+LEN(P971)+LEN(Q971)+LEN(R971)+LEN(S971)+LEN(T971))=0,"",IF(OR(A971="",B971="",C971="",D971="",E971="",J971="",K971="",N971=""),"⚠ Champ obligatoire manquant",IF(AND(ISNUMBER(K971),ISNUMBER(J971),N(K971)&gt;N(J971)),"⚠ Prix Autopiec &gt; prix public",IF(COUNTIFS($A$2:$A$1001,A971,$B$2:$B$1001,B971)&gt;1,"⚠ Référence en double","✔ OK"))))</f>
        <v/>
      </c>
    </row>
    <row r="972" customFormat="false" ht="15" hidden="false" customHeight="false" outlineLevel="0" collapsed="false">
      <c r="A972" s="11"/>
      <c r="B972" s="27"/>
      <c r="C972" s="11"/>
      <c r="D972" s="11"/>
      <c r="E972" s="11"/>
      <c r="F972" s="27"/>
      <c r="G972" s="27"/>
      <c r="H972" s="11"/>
      <c r="I972" s="11"/>
      <c r="J972" s="12"/>
      <c r="K972" s="12"/>
      <c r="L972" s="28" t="str">
        <f aca="false">IF(AND(ISNUMBER(J972),ISNUMBER(K972),N(J972)&gt;0),1-K972/J972,"")</f>
        <v/>
      </c>
      <c r="M972" s="29"/>
      <c r="N972" s="30"/>
      <c r="O972" s="30"/>
      <c r="P972" s="11"/>
      <c r="Q972" s="31"/>
      <c r="R972" s="11"/>
      <c r="S972" s="11"/>
      <c r="T972" s="11"/>
      <c r="U972" s="32" t="str">
        <f aca="false">IF((LEN(A972)+LEN(B972)+LEN(C972)+LEN(D972)+LEN(E972)+LEN(F972)+LEN(G972)+LEN(H972)+LEN(I972)+LEN(J972)+LEN(K972)+LEN(M972)+LEN(N972)+LEN(O972)+LEN(P972)+LEN(Q972)+LEN(R972)+LEN(S972)+LEN(T972))=0,"",IF(OR(A972="",B972="",C972="",D972="",E972="",J972="",K972="",N972=""),"⚠ Champ obligatoire manquant",IF(AND(ISNUMBER(K972),ISNUMBER(J972),N(K972)&gt;N(J972)),"⚠ Prix Autopiec &gt; prix public",IF(COUNTIFS($A$2:$A$1001,A972,$B$2:$B$1001,B972)&gt;1,"⚠ Référence en double","✔ OK"))))</f>
        <v/>
      </c>
    </row>
    <row r="973" customFormat="false" ht="15" hidden="false" customHeight="false" outlineLevel="0" collapsed="false">
      <c r="A973" s="11"/>
      <c r="B973" s="27"/>
      <c r="C973" s="11"/>
      <c r="D973" s="11"/>
      <c r="E973" s="11"/>
      <c r="F973" s="27"/>
      <c r="G973" s="27"/>
      <c r="H973" s="11"/>
      <c r="I973" s="11"/>
      <c r="J973" s="12"/>
      <c r="K973" s="12"/>
      <c r="L973" s="28" t="str">
        <f aca="false">IF(AND(ISNUMBER(J973),ISNUMBER(K973),N(J973)&gt;0),1-K973/J973,"")</f>
        <v/>
      </c>
      <c r="M973" s="29"/>
      <c r="N973" s="30"/>
      <c r="O973" s="30"/>
      <c r="P973" s="11"/>
      <c r="Q973" s="31"/>
      <c r="R973" s="11"/>
      <c r="S973" s="11"/>
      <c r="T973" s="11"/>
      <c r="U973" s="32" t="str">
        <f aca="false">IF((LEN(A973)+LEN(B973)+LEN(C973)+LEN(D973)+LEN(E973)+LEN(F973)+LEN(G973)+LEN(H973)+LEN(I973)+LEN(J973)+LEN(K973)+LEN(M973)+LEN(N973)+LEN(O973)+LEN(P973)+LEN(Q973)+LEN(R973)+LEN(S973)+LEN(T973))=0,"",IF(OR(A973="",B973="",C973="",D973="",E973="",J973="",K973="",N973=""),"⚠ Champ obligatoire manquant",IF(AND(ISNUMBER(K973),ISNUMBER(J973),N(K973)&gt;N(J973)),"⚠ Prix Autopiec &gt; prix public",IF(COUNTIFS($A$2:$A$1001,A973,$B$2:$B$1001,B973)&gt;1,"⚠ Référence en double","✔ OK"))))</f>
        <v/>
      </c>
    </row>
    <row r="974" customFormat="false" ht="15" hidden="false" customHeight="false" outlineLevel="0" collapsed="false">
      <c r="A974" s="11"/>
      <c r="B974" s="27"/>
      <c r="C974" s="11"/>
      <c r="D974" s="11"/>
      <c r="E974" s="11"/>
      <c r="F974" s="27"/>
      <c r="G974" s="27"/>
      <c r="H974" s="11"/>
      <c r="I974" s="11"/>
      <c r="J974" s="12"/>
      <c r="K974" s="12"/>
      <c r="L974" s="28" t="str">
        <f aca="false">IF(AND(ISNUMBER(J974),ISNUMBER(K974),N(J974)&gt;0),1-K974/J974,"")</f>
        <v/>
      </c>
      <c r="M974" s="29"/>
      <c r="N974" s="30"/>
      <c r="O974" s="30"/>
      <c r="P974" s="11"/>
      <c r="Q974" s="31"/>
      <c r="R974" s="11"/>
      <c r="S974" s="11"/>
      <c r="T974" s="11"/>
      <c r="U974" s="32" t="str">
        <f aca="false">IF((LEN(A974)+LEN(B974)+LEN(C974)+LEN(D974)+LEN(E974)+LEN(F974)+LEN(G974)+LEN(H974)+LEN(I974)+LEN(J974)+LEN(K974)+LEN(M974)+LEN(N974)+LEN(O974)+LEN(P974)+LEN(Q974)+LEN(R974)+LEN(S974)+LEN(T974))=0,"",IF(OR(A974="",B974="",C974="",D974="",E974="",J974="",K974="",N974=""),"⚠ Champ obligatoire manquant",IF(AND(ISNUMBER(K974),ISNUMBER(J974),N(K974)&gt;N(J974)),"⚠ Prix Autopiec &gt; prix public",IF(COUNTIFS($A$2:$A$1001,A974,$B$2:$B$1001,B974)&gt;1,"⚠ Référence en double","✔ OK"))))</f>
        <v/>
      </c>
    </row>
    <row r="975" customFormat="false" ht="15" hidden="false" customHeight="false" outlineLevel="0" collapsed="false">
      <c r="A975" s="11"/>
      <c r="B975" s="27"/>
      <c r="C975" s="11"/>
      <c r="D975" s="11"/>
      <c r="E975" s="11"/>
      <c r="F975" s="27"/>
      <c r="G975" s="27"/>
      <c r="H975" s="11"/>
      <c r="I975" s="11"/>
      <c r="J975" s="12"/>
      <c r="K975" s="12"/>
      <c r="L975" s="28" t="str">
        <f aca="false">IF(AND(ISNUMBER(J975),ISNUMBER(K975),N(J975)&gt;0),1-K975/J975,"")</f>
        <v/>
      </c>
      <c r="M975" s="29"/>
      <c r="N975" s="30"/>
      <c r="O975" s="30"/>
      <c r="P975" s="11"/>
      <c r="Q975" s="31"/>
      <c r="R975" s="11"/>
      <c r="S975" s="11"/>
      <c r="T975" s="11"/>
      <c r="U975" s="32" t="str">
        <f aca="false">IF((LEN(A975)+LEN(B975)+LEN(C975)+LEN(D975)+LEN(E975)+LEN(F975)+LEN(G975)+LEN(H975)+LEN(I975)+LEN(J975)+LEN(K975)+LEN(M975)+LEN(N975)+LEN(O975)+LEN(P975)+LEN(Q975)+LEN(R975)+LEN(S975)+LEN(T975))=0,"",IF(OR(A975="",B975="",C975="",D975="",E975="",J975="",K975="",N975=""),"⚠ Champ obligatoire manquant",IF(AND(ISNUMBER(K975),ISNUMBER(J975),N(K975)&gt;N(J975)),"⚠ Prix Autopiec &gt; prix public",IF(COUNTIFS($A$2:$A$1001,A975,$B$2:$B$1001,B975)&gt;1,"⚠ Référence en double","✔ OK"))))</f>
        <v/>
      </c>
    </row>
    <row r="976" customFormat="false" ht="15" hidden="false" customHeight="false" outlineLevel="0" collapsed="false">
      <c r="A976" s="11"/>
      <c r="B976" s="27"/>
      <c r="C976" s="11"/>
      <c r="D976" s="11"/>
      <c r="E976" s="11"/>
      <c r="F976" s="27"/>
      <c r="G976" s="27"/>
      <c r="H976" s="11"/>
      <c r="I976" s="11"/>
      <c r="J976" s="12"/>
      <c r="K976" s="12"/>
      <c r="L976" s="28" t="str">
        <f aca="false">IF(AND(ISNUMBER(J976),ISNUMBER(K976),N(J976)&gt;0),1-K976/J976,"")</f>
        <v/>
      </c>
      <c r="M976" s="29"/>
      <c r="N976" s="30"/>
      <c r="O976" s="30"/>
      <c r="P976" s="11"/>
      <c r="Q976" s="31"/>
      <c r="R976" s="11"/>
      <c r="S976" s="11"/>
      <c r="T976" s="11"/>
      <c r="U976" s="32" t="str">
        <f aca="false">IF((LEN(A976)+LEN(B976)+LEN(C976)+LEN(D976)+LEN(E976)+LEN(F976)+LEN(G976)+LEN(H976)+LEN(I976)+LEN(J976)+LEN(K976)+LEN(M976)+LEN(N976)+LEN(O976)+LEN(P976)+LEN(Q976)+LEN(R976)+LEN(S976)+LEN(T976))=0,"",IF(OR(A976="",B976="",C976="",D976="",E976="",J976="",K976="",N976=""),"⚠ Champ obligatoire manquant",IF(AND(ISNUMBER(K976),ISNUMBER(J976),N(K976)&gt;N(J976)),"⚠ Prix Autopiec &gt; prix public",IF(COUNTIFS($A$2:$A$1001,A976,$B$2:$B$1001,B976)&gt;1,"⚠ Référence en double","✔ OK"))))</f>
        <v/>
      </c>
    </row>
    <row r="977" customFormat="false" ht="15" hidden="false" customHeight="false" outlineLevel="0" collapsed="false">
      <c r="A977" s="11"/>
      <c r="B977" s="27"/>
      <c r="C977" s="11"/>
      <c r="D977" s="11"/>
      <c r="E977" s="11"/>
      <c r="F977" s="27"/>
      <c r="G977" s="27"/>
      <c r="H977" s="11"/>
      <c r="I977" s="11"/>
      <c r="J977" s="12"/>
      <c r="K977" s="12"/>
      <c r="L977" s="28" t="str">
        <f aca="false">IF(AND(ISNUMBER(J977),ISNUMBER(K977),N(J977)&gt;0),1-K977/J977,"")</f>
        <v/>
      </c>
      <c r="M977" s="29"/>
      <c r="N977" s="30"/>
      <c r="O977" s="30"/>
      <c r="P977" s="11"/>
      <c r="Q977" s="31"/>
      <c r="R977" s="11"/>
      <c r="S977" s="11"/>
      <c r="T977" s="11"/>
      <c r="U977" s="32" t="str">
        <f aca="false">IF((LEN(A977)+LEN(B977)+LEN(C977)+LEN(D977)+LEN(E977)+LEN(F977)+LEN(G977)+LEN(H977)+LEN(I977)+LEN(J977)+LEN(K977)+LEN(M977)+LEN(N977)+LEN(O977)+LEN(P977)+LEN(Q977)+LEN(R977)+LEN(S977)+LEN(T977))=0,"",IF(OR(A977="",B977="",C977="",D977="",E977="",J977="",K977="",N977=""),"⚠ Champ obligatoire manquant",IF(AND(ISNUMBER(K977),ISNUMBER(J977),N(K977)&gt;N(J977)),"⚠ Prix Autopiec &gt; prix public",IF(COUNTIFS($A$2:$A$1001,A977,$B$2:$B$1001,B977)&gt;1,"⚠ Référence en double","✔ OK"))))</f>
        <v/>
      </c>
    </row>
    <row r="978" customFormat="false" ht="15" hidden="false" customHeight="false" outlineLevel="0" collapsed="false">
      <c r="A978" s="11"/>
      <c r="B978" s="27"/>
      <c r="C978" s="11"/>
      <c r="D978" s="11"/>
      <c r="E978" s="11"/>
      <c r="F978" s="27"/>
      <c r="G978" s="27"/>
      <c r="H978" s="11"/>
      <c r="I978" s="11"/>
      <c r="J978" s="12"/>
      <c r="K978" s="12"/>
      <c r="L978" s="28" t="str">
        <f aca="false">IF(AND(ISNUMBER(J978),ISNUMBER(K978),N(J978)&gt;0),1-K978/J978,"")</f>
        <v/>
      </c>
      <c r="M978" s="29"/>
      <c r="N978" s="30"/>
      <c r="O978" s="30"/>
      <c r="P978" s="11"/>
      <c r="Q978" s="31"/>
      <c r="R978" s="11"/>
      <c r="S978" s="11"/>
      <c r="T978" s="11"/>
      <c r="U978" s="32" t="str">
        <f aca="false">IF((LEN(A978)+LEN(B978)+LEN(C978)+LEN(D978)+LEN(E978)+LEN(F978)+LEN(G978)+LEN(H978)+LEN(I978)+LEN(J978)+LEN(K978)+LEN(M978)+LEN(N978)+LEN(O978)+LEN(P978)+LEN(Q978)+LEN(R978)+LEN(S978)+LEN(T978))=0,"",IF(OR(A978="",B978="",C978="",D978="",E978="",J978="",K978="",N978=""),"⚠ Champ obligatoire manquant",IF(AND(ISNUMBER(K978),ISNUMBER(J978),N(K978)&gt;N(J978)),"⚠ Prix Autopiec &gt; prix public",IF(COUNTIFS($A$2:$A$1001,A978,$B$2:$B$1001,B978)&gt;1,"⚠ Référence en double","✔ OK"))))</f>
        <v/>
      </c>
    </row>
    <row r="979" customFormat="false" ht="15" hidden="false" customHeight="false" outlineLevel="0" collapsed="false">
      <c r="A979" s="11"/>
      <c r="B979" s="27"/>
      <c r="C979" s="11"/>
      <c r="D979" s="11"/>
      <c r="E979" s="11"/>
      <c r="F979" s="27"/>
      <c r="G979" s="27"/>
      <c r="H979" s="11"/>
      <c r="I979" s="11"/>
      <c r="J979" s="12"/>
      <c r="K979" s="12"/>
      <c r="L979" s="28" t="str">
        <f aca="false">IF(AND(ISNUMBER(J979),ISNUMBER(K979),N(J979)&gt;0),1-K979/J979,"")</f>
        <v/>
      </c>
      <c r="M979" s="29"/>
      <c r="N979" s="30"/>
      <c r="O979" s="30"/>
      <c r="P979" s="11"/>
      <c r="Q979" s="31"/>
      <c r="R979" s="11"/>
      <c r="S979" s="11"/>
      <c r="T979" s="11"/>
      <c r="U979" s="32" t="str">
        <f aca="false">IF((LEN(A979)+LEN(B979)+LEN(C979)+LEN(D979)+LEN(E979)+LEN(F979)+LEN(G979)+LEN(H979)+LEN(I979)+LEN(J979)+LEN(K979)+LEN(M979)+LEN(N979)+LEN(O979)+LEN(P979)+LEN(Q979)+LEN(R979)+LEN(S979)+LEN(T979))=0,"",IF(OR(A979="",B979="",C979="",D979="",E979="",J979="",K979="",N979=""),"⚠ Champ obligatoire manquant",IF(AND(ISNUMBER(K979),ISNUMBER(J979),N(K979)&gt;N(J979)),"⚠ Prix Autopiec &gt; prix public",IF(COUNTIFS($A$2:$A$1001,A979,$B$2:$B$1001,B979)&gt;1,"⚠ Référence en double","✔ OK"))))</f>
        <v/>
      </c>
    </row>
    <row r="980" customFormat="false" ht="15" hidden="false" customHeight="false" outlineLevel="0" collapsed="false">
      <c r="A980" s="11"/>
      <c r="B980" s="27"/>
      <c r="C980" s="11"/>
      <c r="D980" s="11"/>
      <c r="E980" s="11"/>
      <c r="F980" s="27"/>
      <c r="G980" s="27"/>
      <c r="H980" s="11"/>
      <c r="I980" s="11"/>
      <c r="J980" s="12"/>
      <c r="K980" s="12"/>
      <c r="L980" s="28" t="str">
        <f aca="false">IF(AND(ISNUMBER(J980),ISNUMBER(K980),N(J980)&gt;0),1-K980/J980,"")</f>
        <v/>
      </c>
      <c r="M980" s="29"/>
      <c r="N980" s="30"/>
      <c r="O980" s="30"/>
      <c r="P980" s="11"/>
      <c r="Q980" s="31"/>
      <c r="R980" s="11"/>
      <c r="S980" s="11"/>
      <c r="T980" s="11"/>
      <c r="U980" s="32" t="str">
        <f aca="false">IF((LEN(A980)+LEN(B980)+LEN(C980)+LEN(D980)+LEN(E980)+LEN(F980)+LEN(G980)+LEN(H980)+LEN(I980)+LEN(J980)+LEN(K980)+LEN(M980)+LEN(N980)+LEN(O980)+LEN(P980)+LEN(Q980)+LEN(R980)+LEN(S980)+LEN(T980))=0,"",IF(OR(A980="",B980="",C980="",D980="",E980="",J980="",K980="",N980=""),"⚠ Champ obligatoire manquant",IF(AND(ISNUMBER(K980),ISNUMBER(J980),N(K980)&gt;N(J980)),"⚠ Prix Autopiec &gt; prix public",IF(COUNTIFS($A$2:$A$1001,A980,$B$2:$B$1001,B980)&gt;1,"⚠ Référence en double","✔ OK"))))</f>
        <v/>
      </c>
    </row>
    <row r="981" customFormat="false" ht="15" hidden="false" customHeight="false" outlineLevel="0" collapsed="false">
      <c r="A981" s="11"/>
      <c r="B981" s="27"/>
      <c r="C981" s="11"/>
      <c r="D981" s="11"/>
      <c r="E981" s="11"/>
      <c r="F981" s="27"/>
      <c r="G981" s="27"/>
      <c r="H981" s="11"/>
      <c r="I981" s="11"/>
      <c r="J981" s="12"/>
      <c r="K981" s="12"/>
      <c r="L981" s="28" t="str">
        <f aca="false">IF(AND(ISNUMBER(J981),ISNUMBER(K981),N(J981)&gt;0),1-K981/J981,"")</f>
        <v/>
      </c>
      <c r="M981" s="29"/>
      <c r="N981" s="30"/>
      <c r="O981" s="30"/>
      <c r="P981" s="11"/>
      <c r="Q981" s="31"/>
      <c r="R981" s="11"/>
      <c r="S981" s="11"/>
      <c r="T981" s="11"/>
      <c r="U981" s="32" t="str">
        <f aca="false">IF((LEN(A981)+LEN(B981)+LEN(C981)+LEN(D981)+LEN(E981)+LEN(F981)+LEN(G981)+LEN(H981)+LEN(I981)+LEN(J981)+LEN(K981)+LEN(M981)+LEN(N981)+LEN(O981)+LEN(P981)+LEN(Q981)+LEN(R981)+LEN(S981)+LEN(T981))=0,"",IF(OR(A981="",B981="",C981="",D981="",E981="",J981="",K981="",N981=""),"⚠ Champ obligatoire manquant",IF(AND(ISNUMBER(K981),ISNUMBER(J981),N(K981)&gt;N(J981)),"⚠ Prix Autopiec &gt; prix public",IF(COUNTIFS($A$2:$A$1001,A981,$B$2:$B$1001,B981)&gt;1,"⚠ Référence en double","✔ OK"))))</f>
        <v/>
      </c>
    </row>
    <row r="982" customFormat="false" ht="15" hidden="false" customHeight="false" outlineLevel="0" collapsed="false">
      <c r="A982" s="11"/>
      <c r="B982" s="27"/>
      <c r="C982" s="11"/>
      <c r="D982" s="11"/>
      <c r="E982" s="11"/>
      <c r="F982" s="27"/>
      <c r="G982" s="27"/>
      <c r="H982" s="11"/>
      <c r="I982" s="11"/>
      <c r="J982" s="12"/>
      <c r="K982" s="12"/>
      <c r="L982" s="28" t="str">
        <f aca="false">IF(AND(ISNUMBER(J982),ISNUMBER(K982),N(J982)&gt;0),1-K982/J982,"")</f>
        <v/>
      </c>
      <c r="M982" s="29"/>
      <c r="N982" s="30"/>
      <c r="O982" s="30"/>
      <c r="P982" s="11"/>
      <c r="Q982" s="31"/>
      <c r="R982" s="11"/>
      <c r="S982" s="11"/>
      <c r="T982" s="11"/>
      <c r="U982" s="32" t="str">
        <f aca="false">IF((LEN(A982)+LEN(B982)+LEN(C982)+LEN(D982)+LEN(E982)+LEN(F982)+LEN(G982)+LEN(H982)+LEN(I982)+LEN(J982)+LEN(K982)+LEN(M982)+LEN(N982)+LEN(O982)+LEN(P982)+LEN(Q982)+LEN(R982)+LEN(S982)+LEN(T982))=0,"",IF(OR(A982="",B982="",C982="",D982="",E982="",J982="",K982="",N982=""),"⚠ Champ obligatoire manquant",IF(AND(ISNUMBER(K982),ISNUMBER(J982),N(K982)&gt;N(J982)),"⚠ Prix Autopiec &gt; prix public",IF(COUNTIFS($A$2:$A$1001,A982,$B$2:$B$1001,B982)&gt;1,"⚠ Référence en double","✔ OK"))))</f>
        <v/>
      </c>
    </row>
    <row r="983" customFormat="false" ht="15" hidden="false" customHeight="false" outlineLevel="0" collapsed="false">
      <c r="A983" s="11"/>
      <c r="B983" s="27"/>
      <c r="C983" s="11"/>
      <c r="D983" s="11"/>
      <c r="E983" s="11"/>
      <c r="F983" s="27"/>
      <c r="G983" s="27"/>
      <c r="H983" s="11"/>
      <c r="I983" s="11"/>
      <c r="J983" s="12"/>
      <c r="K983" s="12"/>
      <c r="L983" s="28" t="str">
        <f aca="false">IF(AND(ISNUMBER(J983),ISNUMBER(K983),N(J983)&gt;0),1-K983/J983,"")</f>
        <v/>
      </c>
      <c r="M983" s="29"/>
      <c r="N983" s="30"/>
      <c r="O983" s="30"/>
      <c r="P983" s="11"/>
      <c r="Q983" s="31"/>
      <c r="R983" s="11"/>
      <c r="S983" s="11"/>
      <c r="T983" s="11"/>
      <c r="U983" s="32" t="str">
        <f aca="false">IF((LEN(A983)+LEN(B983)+LEN(C983)+LEN(D983)+LEN(E983)+LEN(F983)+LEN(G983)+LEN(H983)+LEN(I983)+LEN(J983)+LEN(K983)+LEN(M983)+LEN(N983)+LEN(O983)+LEN(P983)+LEN(Q983)+LEN(R983)+LEN(S983)+LEN(T983))=0,"",IF(OR(A983="",B983="",C983="",D983="",E983="",J983="",K983="",N983=""),"⚠ Champ obligatoire manquant",IF(AND(ISNUMBER(K983),ISNUMBER(J983),N(K983)&gt;N(J983)),"⚠ Prix Autopiec &gt; prix public",IF(COUNTIFS($A$2:$A$1001,A983,$B$2:$B$1001,B983)&gt;1,"⚠ Référence en double","✔ OK"))))</f>
        <v/>
      </c>
    </row>
    <row r="984" customFormat="false" ht="15" hidden="false" customHeight="false" outlineLevel="0" collapsed="false">
      <c r="A984" s="11"/>
      <c r="B984" s="27"/>
      <c r="C984" s="11"/>
      <c r="D984" s="11"/>
      <c r="E984" s="11"/>
      <c r="F984" s="27"/>
      <c r="G984" s="27"/>
      <c r="H984" s="11"/>
      <c r="I984" s="11"/>
      <c r="J984" s="12"/>
      <c r="K984" s="12"/>
      <c r="L984" s="28" t="str">
        <f aca="false">IF(AND(ISNUMBER(J984),ISNUMBER(K984),N(J984)&gt;0),1-K984/J984,"")</f>
        <v/>
      </c>
      <c r="M984" s="29"/>
      <c r="N984" s="30"/>
      <c r="O984" s="30"/>
      <c r="P984" s="11"/>
      <c r="Q984" s="31"/>
      <c r="R984" s="11"/>
      <c r="S984" s="11"/>
      <c r="T984" s="11"/>
      <c r="U984" s="32" t="str">
        <f aca="false">IF((LEN(A984)+LEN(B984)+LEN(C984)+LEN(D984)+LEN(E984)+LEN(F984)+LEN(G984)+LEN(H984)+LEN(I984)+LEN(J984)+LEN(K984)+LEN(M984)+LEN(N984)+LEN(O984)+LEN(P984)+LEN(Q984)+LEN(R984)+LEN(S984)+LEN(T984))=0,"",IF(OR(A984="",B984="",C984="",D984="",E984="",J984="",K984="",N984=""),"⚠ Champ obligatoire manquant",IF(AND(ISNUMBER(K984),ISNUMBER(J984),N(K984)&gt;N(J984)),"⚠ Prix Autopiec &gt; prix public",IF(COUNTIFS($A$2:$A$1001,A984,$B$2:$B$1001,B984)&gt;1,"⚠ Référence en double","✔ OK"))))</f>
        <v/>
      </c>
    </row>
    <row r="985" customFormat="false" ht="15" hidden="false" customHeight="false" outlineLevel="0" collapsed="false">
      <c r="A985" s="11"/>
      <c r="B985" s="27"/>
      <c r="C985" s="11"/>
      <c r="D985" s="11"/>
      <c r="E985" s="11"/>
      <c r="F985" s="27"/>
      <c r="G985" s="27"/>
      <c r="H985" s="11"/>
      <c r="I985" s="11"/>
      <c r="J985" s="12"/>
      <c r="K985" s="12"/>
      <c r="L985" s="28" t="str">
        <f aca="false">IF(AND(ISNUMBER(J985),ISNUMBER(K985),N(J985)&gt;0),1-K985/J985,"")</f>
        <v/>
      </c>
      <c r="M985" s="29"/>
      <c r="N985" s="30"/>
      <c r="O985" s="30"/>
      <c r="P985" s="11"/>
      <c r="Q985" s="31"/>
      <c r="R985" s="11"/>
      <c r="S985" s="11"/>
      <c r="T985" s="11"/>
      <c r="U985" s="32" t="str">
        <f aca="false">IF((LEN(A985)+LEN(B985)+LEN(C985)+LEN(D985)+LEN(E985)+LEN(F985)+LEN(G985)+LEN(H985)+LEN(I985)+LEN(J985)+LEN(K985)+LEN(M985)+LEN(N985)+LEN(O985)+LEN(P985)+LEN(Q985)+LEN(R985)+LEN(S985)+LEN(T985))=0,"",IF(OR(A985="",B985="",C985="",D985="",E985="",J985="",K985="",N985=""),"⚠ Champ obligatoire manquant",IF(AND(ISNUMBER(K985),ISNUMBER(J985),N(K985)&gt;N(J985)),"⚠ Prix Autopiec &gt; prix public",IF(COUNTIFS($A$2:$A$1001,A985,$B$2:$B$1001,B985)&gt;1,"⚠ Référence en double","✔ OK"))))</f>
        <v/>
      </c>
    </row>
    <row r="986" customFormat="false" ht="15" hidden="false" customHeight="false" outlineLevel="0" collapsed="false">
      <c r="A986" s="11"/>
      <c r="B986" s="27"/>
      <c r="C986" s="11"/>
      <c r="D986" s="11"/>
      <c r="E986" s="11"/>
      <c r="F986" s="27"/>
      <c r="G986" s="27"/>
      <c r="H986" s="11"/>
      <c r="I986" s="11"/>
      <c r="J986" s="12"/>
      <c r="K986" s="12"/>
      <c r="L986" s="28" t="str">
        <f aca="false">IF(AND(ISNUMBER(J986),ISNUMBER(K986),N(J986)&gt;0),1-K986/J986,"")</f>
        <v/>
      </c>
      <c r="M986" s="29"/>
      <c r="N986" s="30"/>
      <c r="O986" s="30"/>
      <c r="P986" s="11"/>
      <c r="Q986" s="31"/>
      <c r="R986" s="11"/>
      <c r="S986" s="11"/>
      <c r="T986" s="11"/>
      <c r="U986" s="32" t="str">
        <f aca="false">IF((LEN(A986)+LEN(B986)+LEN(C986)+LEN(D986)+LEN(E986)+LEN(F986)+LEN(G986)+LEN(H986)+LEN(I986)+LEN(J986)+LEN(K986)+LEN(M986)+LEN(N986)+LEN(O986)+LEN(P986)+LEN(Q986)+LEN(R986)+LEN(S986)+LEN(T986))=0,"",IF(OR(A986="",B986="",C986="",D986="",E986="",J986="",K986="",N986=""),"⚠ Champ obligatoire manquant",IF(AND(ISNUMBER(K986),ISNUMBER(J986),N(K986)&gt;N(J986)),"⚠ Prix Autopiec &gt; prix public",IF(COUNTIFS($A$2:$A$1001,A986,$B$2:$B$1001,B986)&gt;1,"⚠ Référence en double","✔ OK"))))</f>
        <v/>
      </c>
    </row>
    <row r="987" customFormat="false" ht="15" hidden="false" customHeight="false" outlineLevel="0" collapsed="false">
      <c r="A987" s="11"/>
      <c r="B987" s="27"/>
      <c r="C987" s="11"/>
      <c r="D987" s="11"/>
      <c r="E987" s="11"/>
      <c r="F987" s="27"/>
      <c r="G987" s="27"/>
      <c r="H987" s="11"/>
      <c r="I987" s="11"/>
      <c r="J987" s="12"/>
      <c r="K987" s="12"/>
      <c r="L987" s="28" t="str">
        <f aca="false">IF(AND(ISNUMBER(J987),ISNUMBER(K987),N(J987)&gt;0),1-K987/J987,"")</f>
        <v/>
      </c>
      <c r="M987" s="29"/>
      <c r="N987" s="30"/>
      <c r="O987" s="30"/>
      <c r="P987" s="11"/>
      <c r="Q987" s="31"/>
      <c r="R987" s="11"/>
      <c r="S987" s="11"/>
      <c r="T987" s="11"/>
      <c r="U987" s="32" t="str">
        <f aca="false">IF((LEN(A987)+LEN(B987)+LEN(C987)+LEN(D987)+LEN(E987)+LEN(F987)+LEN(G987)+LEN(H987)+LEN(I987)+LEN(J987)+LEN(K987)+LEN(M987)+LEN(N987)+LEN(O987)+LEN(P987)+LEN(Q987)+LEN(R987)+LEN(S987)+LEN(T987))=0,"",IF(OR(A987="",B987="",C987="",D987="",E987="",J987="",K987="",N987=""),"⚠ Champ obligatoire manquant",IF(AND(ISNUMBER(K987),ISNUMBER(J987),N(K987)&gt;N(J987)),"⚠ Prix Autopiec &gt; prix public",IF(COUNTIFS($A$2:$A$1001,A987,$B$2:$B$1001,B987)&gt;1,"⚠ Référence en double","✔ OK"))))</f>
        <v/>
      </c>
    </row>
    <row r="988" customFormat="false" ht="15" hidden="false" customHeight="false" outlineLevel="0" collapsed="false">
      <c r="A988" s="11"/>
      <c r="B988" s="27"/>
      <c r="C988" s="11"/>
      <c r="D988" s="11"/>
      <c r="E988" s="11"/>
      <c r="F988" s="27"/>
      <c r="G988" s="27"/>
      <c r="H988" s="11"/>
      <c r="I988" s="11"/>
      <c r="J988" s="12"/>
      <c r="K988" s="12"/>
      <c r="L988" s="28" t="str">
        <f aca="false">IF(AND(ISNUMBER(J988),ISNUMBER(K988),N(J988)&gt;0),1-K988/J988,"")</f>
        <v/>
      </c>
      <c r="M988" s="29"/>
      <c r="N988" s="30"/>
      <c r="O988" s="30"/>
      <c r="P988" s="11"/>
      <c r="Q988" s="31"/>
      <c r="R988" s="11"/>
      <c r="S988" s="11"/>
      <c r="T988" s="11"/>
      <c r="U988" s="32" t="str">
        <f aca="false">IF((LEN(A988)+LEN(B988)+LEN(C988)+LEN(D988)+LEN(E988)+LEN(F988)+LEN(G988)+LEN(H988)+LEN(I988)+LEN(J988)+LEN(K988)+LEN(M988)+LEN(N988)+LEN(O988)+LEN(P988)+LEN(Q988)+LEN(R988)+LEN(S988)+LEN(T988))=0,"",IF(OR(A988="",B988="",C988="",D988="",E988="",J988="",K988="",N988=""),"⚠ Champ obligatoire manquant",IF(AND(ISNUMBER(K988),ISNUMBER(J988),N(K988)&gt;N(J988)),"⚠ Prix Autopiec &gt; prix public",IF(COUNTIFS($A$2:$A$1001,A988,$B$2:$B$1001,B988)&gt;1,"⚠ Référence en double","✔ OK"))))</f>
        <v/>
      </c>
    </row>
    <row r="989" customFormat="false" ht="15" hidden="false" customHeight="false" outlineLevel="0" collapsed="false">
      <c r="A989" s="11"/>
      <c r="B989" s="27"/>
      <c r="C989" s="11"/>
      <c r="D989" s="11"/>
      <c r="E989" s="11"/>
      <c r="F989" s="27"/>
      <c r="G989" s="27"/>
      <c r="H989" s="11"/>
      <c r="I989" s="11"/>
      <c r="J989" s="12"/>
      <c r="K989" s="12"/>
      <c r="L989" s="28" t="str">
        <f aca="false">IF(AND(ISNUMBER(J989),ISNUMBER(K989),N(J989)&gt;0),1-K989/J989,"")</f>
        <v/>
      </c>
      <c r="M989" s="29"/>
      <c r="N989" s="30"/>
      <c r="O989" s="30"/>
      <c r="P989" s="11"/>
      <c r="Q989" s="31"/>
      <c r="R989" s="11"/>
      <c r="S989" s="11"/>
      <c r="T989" s="11"/>
      <c r="U989" s="32" t="str">
        <f aca="false">IF((LEN(A989)+LEN(B989)+LEN(C989)+LEN(D989)+LEN(E989)+LEN(F989)+LEN(G989)+LEN(H989)+LEN(I989)+LEN(J989)+LEN(K989)+LEN(M989)+LEN(N989)+LEN(O989)+LEN(P989)+LEN(Q989)+LEN(R989)+LEN(S989)+LEN(T989))=0,"",IF(OR(A989="",B989="",C989="",D989="",E989="",J989="",K989="",N989=""),"⚠ Champ obligatoire manquant",IF(AND(ISNUMBER(K989),ISNUMBER(J989),N(K989)&gt;N(J989)),"⚠ Prix Autopiec &gt; prix public",IF(COUNTIFS($A$2:$A$1001,A989,$B$2:$B$1001,B989)&gt;1,"⚠ Référence en double","✔ OK"))))</f>
        <v/>
      </c>
    </row>
    <row r="990" customFormat="false" ht="15" hidden="false" customHeight="false" outlineLevel="0" collapsed="false">
      <c r="A990" s="11"/>
      <c r="B990" s="27"/>
      <c r="C990" s="11"/>
      <c r="D990" s="11"/>
      <c r="E990" s="11"/>
      <c r="F990" s="27"/>
      <c r="G990" s="27"/>
      <c r="H990" s="11"/>
      <c r="I990" s="11"/>
      <c r="J990" s="12"/>
      <c r="K990" s="12"/>
      <c r="L990" s="28" t="str">
        <f aca="false">IF(AND(ISNUMBER(J990),ISNUMBER(K990),N(J990)&gt;0),1-K990/J990,"")</f>
        <v/>
      </c>
      <c r="M990" s="29"/>
      <c r="N990" s="30"/>
      <c r="O990" s="30"/>
      <c r="P990" s="11"/>
      <c r="Q990" s="31"/>
      <c r="R990" s="11"/>
      <c r="S990" s="11"/>
      <c r="T990" s="11"/>
      <c r="U990" s="32" t="str">
        <f aca="false">IF((LEN(A990)+LEN(B990)+LEN(C990)+LEN(D990)+LEN(E990)+LEN(F990)+LEN(G990)+LEN(H990)+LEN(I990)+LEN(J990)+LEN(K990)+LEN(M990)+LEN(N990)+LEN(O990)+LEN(P990)+LEN(Q990)+LEN(R990)+LEN(S990)+LEN(T990))=0,"",IF(OR(A990="",B990="",C990="",D990="",E990="",J990="",K990="",N990=""),"⚠ Champ obligatoire manquant",IF(AND(ISNUMBER(K990),ISNUMBER(J990),N(K990)&gt;N(J990)),"⚠ Prix Autopiec &gt; prix public",IF(COUNTIFS($A$2:$A$1001,A990,$B$2:$B$1001,B990)&gt;1,"⚠ Référence en double","✔ OK"))))</f>
        <v/>
      </c>
    </row>
    <row r="991" customFormat="false" ht="15" hidden="false" customHeight="false" outlineLevel="0" collapsed="false">
      <c r="A991" s="11"/>
      <c r="B991" s="27"/>
      <c r="C991" s="11"/>
      <c r="D991" s="11"/>
      <c r="E991" s="11"/>
      <c r="F991" s="27"/>
      <c r="G991" s="27"/>
      <c r="H991" s="11"/>
      <c r="I991" s="11"/>
      <c r="J991" s="12"/>
      <c r="K991" s="12"/>
      <c r="L991" s="28" t="str">
        <f aca="false">IF(AND(ISNUMBER(J991),ISNUMBER(K991),N(J991)&gt;0),1-K991/J991,"")</f>
        <v/>
      </c>
      <c r="M991" s="29"/>
      <c r="N991" s="30"/>
      <c r="O991" s="30"/>
      <c r="P991" s="11"/>
      <c r="Q991" s="31"/>
      <c r="R991" s="11"/>
      <c r="S991" s="11"/>
      <c r="T991" s="11"/>
      <c r="U991" s="32" t="str">
        <f aca="false">IF((LEN(A991)+LEN(B991)+LEN(C991)+LEN(D991)+LEN(E991)+LEN(F991)+LEN(G991)+LEN(H991)+LEN(I991)+LEN(J991)+LEN(K991)+LEN(M991)+LEN(N991)+LEN(O991)+LEN(P991)+LEN(Q991)+LEN(R991)+LEN(S991)+LEN(T991))=0,"",IF(OR(A991="",B991="",C991="",D991="",E991="",J991="",K991="",N991=""),"⚠ Champ obligatoire manquant",IF(AND(ISNUMBER(K991),ISNUMBER(J991),N(K991)&gt;N(J991)),"⚠ Prix Autopiec &gt; prix public",IF(COUNTIFS($A$2:$A$1001,A991,$B$2:$B$1001,B991)&gt;1,"⚠ Référence en double","✔ OK"))))</f>
        <v/>
      </c>
    </row>
    <row r="992" customFormat="false" ht="15" hidden="false" customHeight="false" outlineLevel="0" collapsed="false">
      <c r="A992" s="11"/>
      <c r="B992" s="27"/>
      <c r="C992" s="11"/>
      <c r="D992" s="11"/>
      <c r="E992" s="11"/>
      <c r="F992" s="27"/>
      <c r="G992" s="27"/>
      <c r="H992" s="11"/>
      <c r="I992" s="11"/>
      <c r="J992" s="12"/>
      <c r="K992" s="12"/>
      <c r="L992" s="28" t="str">
        <f aca="false">IF(AND(ISNUMBER(J992),ISNUMBER(K992),N(J992)&gt;0),1-K992/J992,"")</f>
        <v/>
      </c>
      <c r="M992" s="29"/>
      <c r="N992" s="30"/>
      <c r="O992" s="30"/>
      <c r="P992" s="11"/>
      <c r="Q992" s="31"/>
      <c r="R992" s="11"/>
      <c r="S992" s="11"/>
      <c r="T992" s="11"/>
      <c r="U992" s="32" t="str">
        <f aca="false">IF((LEN(A992)+LEN(B992)+LEN(C992)+LEN(D992)+LEN(E992)+LEN(F992)+LEN(G992)+LEN(H992)+LEN(I992)+LEN(J992)+LEN(K992)+LEN(M992)+LEN(N992)+LEN(O992)+LEN(P992)+LEN(Q992)+LEN(R992)+LEN(S992)+LEN(T992))=0,"",IF(OR(A992="",B992="",C992="",D992="",E992="",J992="",K992="",N992=""),"⚠ Champ obligatoire manquant",IF(AND(ISNUMBER(K992),ISNUMBER(J992),N(K992)&gt;N(J992)),"⚠ Prix Autopiec &gt; prix public",IF(COUNTIFS($A$2:$A$1001,A992,$B$2:$B$1001,B992)&gt;1,"⚠ Référence en double","✔ OK"))))</f>
        <v/>
      </c>
    </row>
    <row r="993" customFormat="false" ht="15" hidden="false" customHeight="false" outlineLevel="0" collapsed="false">
      <c r="A993" s="11"/>
      <c r="B993" s="27"/>
      <c r="C993" s="11"/>
      <c r="D993" s="11"/>
      <c r="E993" s="11"/>
      <c r="F993" s="27"/>
      <c r="G993" s="27"/>
      <c r="H993" s="11"/>
      <c r="I993" s="11"/>
      <c r="J993" s="12"/>
      <c r="K993" s="12"/>
      <c r="L993" s="28" t="str">
        <f aca="false">IF(AND(ISNUMBER(J993),ISNUMBER(K993),N(J993)&gt;0),1-K993/J993,"")</f>
        <v/>
      </c>
      <c r="M993" s="29"/>
      <c r="N993" s="30"/>
      <c r="O993" s="30"/>
      <c r="P993" s="11"/>
      <c r="Q993" s="31"/>
      <c r="R993" s="11"/>
      <c r="S993" s="11"/>
      <c r="T993" s="11"/>
      <c r="U993" s="32" t="str">
        <f aca="false">IF((LEN(A993)+LEN(B993)+LEN(C993)+LEN(D993)+LEN(E993)+LEN(F993)+LEN(G993)+LEN(H993)+LEN(I993)+LEN(J993)+LEN(K993)+LEN(M993)+LEN(N993)+LEN(O993)+LEN(P993)+LEN(Q993)+LEN(R993)+LEN(S993)+LEN(T993))=0,"",IF(OR(A993="",B993="",C993="",D993="",E993="",J993="",K993="",N993=""),"⚠ Champ obligatoire manquant",IF(AND(ISNUMBER(K993),ISNUMBER(J993),N(K993)&gt;N(J993)),"⚠ Prix Autopiec &gt; prix public",IF(COUNTIFS($A$2:$A$1001,A993,$B$2:$B$1001,B993)&gt;1,"⚠ Référence en double","✔ OK"))))</f>
        <v/>
      </c>
    </row>
    <row r="994" customFormat="false" ht="15" hidden="false" customHeight="false" outlineLevel="0" collapsed="false">
      <c r="A994" s="11"/>
      <c r="B994" s="27"/>
      <c r="C994" s="11"/>
      <c r="D994" s="11"/>
      <c r="E994" s="11"/>
      <c r="F994" s="27"/>
      <c r="G994" s="27"/>
      <c r="H994" s="11"/>
      <c r="I994" s="11"/>
      <c r="J994" s="12"/>
      <c r="K994" s="12"/>
      <c r="L994" s="28" t="str">
        <f aca="false">IF(AND(ISNUMBER(J994),ISNUMBER(K994),N(J994)&gt;0),1-K994/J994,"")</f>
        <v/>
      </c>
      <c r="M994" s="29"/>
      <c r="N994" s="30"/>
      <c r="O994" s="30"/>
      <c r="P994" s="11"/>
      <c r="Q994" s="31"/>
      <c r="R994" s="11"/>
      <c r="S994" s="11"/>
      <c r="T994" s="11"/>
      <c r="U994" s="32" t="str">
        <f aca="false">IF((LEN(A994)+LEN(B994)+LEN(C994)+LEN(D994)+LEN(E994)+LEN(F994)+LEN(G994)+LEN(H994)+LEN(I994)+LEN(J994)+LEN(K994)+LEN(M994)+LEN(N994)+LEN(O994)+LEN(P994)+LEN(Q994)+LEN(R994)+LEN(S994)+LEN(T994))=0,"",IF(OR(A994="",B994="",C994="",D994="",E994="",J994="",K994="",N994=""),"⚠ Champ obligatoire manquant",IF(AND(ISNUMBER(K994),ISNUMBER(J994),N(K994)&gt;N(J994)),"⚠ Prix Autopiec &gt; prix public",IF(COUNTIFS($A$2:$A$1001,A994,$B$2:$B$1001,B994)&gt;1,"⚠ Référence en double","✔ OK"))))</f>
        <v/>
      </c>
    </row>
    <row r="995" customFormat="false" ht="15" hidden="false" customHeight="false" outlineLevel="0" collapsed="false">
      <c r="A995" s="11"/>
      <c r="B995" s="27"/>
      <c r="C995" s="11"/>
      <c r="D995" s="11"/>
      <c r="E995" s="11"/>
      <c r="F995" s="27"/>
      <c r="G995" s="27"/>
      <c r="H995" s="11"/>
      <c r="I995" s="11"/>
      <c r="J995" s="12"/>
      <c r="K995" s="12"/>
      <c r="L995" s="28" t="str">
        <f aca="false">IF(AND(ISNUMBER(J995),ISNUMBER(K995),N(J995)&gt;0),1-K995/J995,"")</f>
        <v/>
      </c>
      <c r="M995" s="29"/>
      <c r="N995" s="30"/>
      <c r="O995" s="30"/>
      <c r="P995" s="11"/>
      <c r="Q995" s="31"/>
      <c r="R995" s="11"/>
      <c r="S995" s="11"/>
      <c r="T995" s="11"/>
      <c r="U995" s="32" t="str">
        <f aca="false">IF((LEN(A995)+LEN(B995)+LEN(C995)+LEN(D995)+LEN(E995)+LEN(F995)+LEN(G995)+LEN(H995)+LEN(I995)+LEN(J995)+LEN(K995)+LEN(M995)+LEN(N995)+LEN(O995)+LEN(P995)+LEN(Q995)+LEN(R995)+LEN(S995)+LEN(T995))=0,"",IF(OR(A995="",B995="",C995="",D995="",E995="",J995="",K995="",N995=""),"⚠ Champ obligatoire manquant",IF(AND(ISNUMBER(K995),ISNUMBER(J995),N(K995)&gt;N(J995)),"⚠ Prix Autopiec &gt; prix public",IF(COUNTIFS($A$2:$A$1001,A995,$B$2:$B$1001,B995)&gt;1,"⚠ Référence en double","✔ OK"))))</f>
        <v/>
      </c>
    </row>
    <row r="996" customFormat="false" ht="15" hidden="false" customHeight="false" outlineLevel="0" collapsed="false">
      <c r="A996" s="11"/>
      <c r="B996" s="27"/>
      <c r="C996" s="11"/>
      <c r="D996" s="11"/>
      <c r="E996" s="11"/>
      <c r="F996" s="27"/>
      <c r="G996" s="27"/>
      <c r="H996" s="11"/>
      <c r="I996" s="11"/>
      <c r="J996" s="12"/>
      <c r="K996" s="12"/>
      <c r="L996" s="28" t="str">
        <f aca="false">IF(AND(ISNUMBER(J996),ISNUMBER(K996),N(J996)&gt;0),1-K996/J996,"")</f>
        <v/>
      </c>
      <c r="M996" s="29"/>
      <c r="N996" s="30"/>
      <c r="O996" s="30"/>
      <c r="P996" s="11"/>
      <c r="Q996" s="31"/>
      <c r="R996" s="11"/>
      <c r="S996" s="11"/>
      <c r="T996" s="11"/>
      <c r="U996" s="32" t="str">
        <f aca="false">IF((LEN(A996)+LEN(B996)+LEN(C996)+LEN(D996)+LEN(E996)+LEN(F996)+LEN(G996)+LEN(H996)+LEN(I996)+LEN(J996)+LEN(K996)+LEN(M996)+LEN(N996)+LEN(O996)+LEN(P996)+LEN(Q996)+LEN(R996)+LEN(S996)+LEN(T996))=0,"",IF(OR(A996="",B996="",C996="",D996="",E996="",J996="",K996="",N996=""),"⚠ Champ obligatoire manquant",IF(AND(ISNUMBER(K996),ISNUMBER(J996),N(K996)&gt;N(J996)),"⚠ Prix Autopiec &gt; prix public",IF(COUNTIFS($A$2:$A$1001,A996,$B$2:$B$1001,B996)&gt;1,"⚠ Référence en double","✔ OK"))))</f>
        <v/>
      </c>
    </row>
    <row r="997" customFormat="false" ht="15" hidden="false" customHeight="false" outlineLevel="0" collapsed="false">
      <c r="A997" s="11"/>
      <c r="B997" s="27"/>
      <c r="C997" s="11"/>
      <c r="D997" s="11"/>
      <c r="E997" s="11"/>
      <c r="F997" s="27"/>
      <c r="G997" s="27"/>
      <c r="H997" s="11"/>
      <c r="I997" s="11"/>
      <c r="J997" s="12"/>
      <c r="K997" s="12"/>
      <c r="L997" s="28" t="str">
        <f aca="false">IF(AND(ISNUMBER(J997),ISNUMBER(K997),N(J997)&gt;0),1-K997/J997,"")</f>
        <v/>
      </c>
      <c r="M997" s="29"/>
      <c r="N997" s="30"/>
      <c r="O997" s="30"/>
      <c r="P997" s="11"/>
      <c r="Q997" s="31"/>
      <c r="R997" s="11"/>
      <c r="S997" s="11"/>
      <c r="T997" s="11"/>
      <c r="U997" s="32" t="str">
        <f aca="false">IF((LEN(A997)+LEN(B997)+LEN(C997)+LEN(D997)+LEN(E997)+LEN(F997)+LEN(G997)+LEN(H997)+LEN(I997)+LEN(J997)+LEN(K997)+LEN(M997)+LEN(N997)+LEN(O997)+LEN(P997)+LEN(Q997)+LEN(R997)+LEN(S997)+LEN(T997))=0,"",IF(OR(A997="",B997="",C997="",D997="",E997="",J997="",K997="",N997=""),"⚠ Champ obligatoire manquant",IF(AND(ISNUMBER(K997),ISNUMBER(J997),N(K997)&gt;N(J997)),"⚠ Prix Autopiec &gt; prix public",IF(COUNTIFS($A$2:$A$1001,A997,$B$2:$B$1001,B997)&gt;1,"⚠ Référence en double","✔ OK"))))</f>
        <v/>
      </c>
    </row>
    <row r="998" customFormat="false" ht="15" hidden="false" customHeight="false" outlineLevel="0" collapsed="false">
      <c r="A998" s="11"/>
      <c r="B998" s="27"/>
      <c r="C998" s="11"/>
      <c r="D998" s="11"/>
      <c r="E998" s="11"/>
      <c r="F998" s="27"/>
      <c r="G998" s="27"/>
      <c r="H998" s="11"/>
      <c r="I998" s="11"/>
      <c r="J998" s="12"/>
      <c r="K998" s="12"/>
      <c r="L998" s="28" t="str">
        <f aca="false">IF(AND(ISNUMBER(J998),ISNUMBER(K998),N(J998)&gt;0),1-K998/J998,"")</f>
        <v/>
      </c>
      <c r="M998" s="29"/>
      <c r="N998" s="30"/>
      <c r="O998" s="30"/>
      <c r="P998" s="11"/>
      <c r="Q998" s="31"/>
      <c r="R998" s="11"/>
      <c r="S998" s="11"/>
      <c r="T998" s="11"/>
      <c r="U998" s="32" t="str">
        <f aca="false">IF((LEN(A998)+LEN(B998)+LEN(C998)+LEN(D998)+LEN(E998)+LEN(F998)+LEN(G998)+LEN(H998)+LEN(I998)+LEN(J998)+LEN(K998)+LEN(M998)+LEN(N998)+LEN(O998)+LEN(P998)+LEN(Q998)+LEN(R998)+LEN(S998)+LEN(T998))=0,"",IF(OR(A998="",B998="",C998="",D998="",E998="",J998="",K998="",N998=""),"⚠ Champ obligatoire manquant",IF(AND(ISNUMBER(K998),ISNUMBER(J998),N(K998)&gt;N(J998)),"⚠ Prix Autopiec &gt; prix public",IF(COUNTIFS($A$2:$A$1001,A998,$B$2:$B$1001,B998)&gt;1,"⚠ Référence en double","✔ OK"))))</f>
        <v/>
      </c>
    </row>
    <row r="999" customFormat="false" ht="15" hidden="false" customHeight="false" outlineLevel="0" collapsed="false">
      <c r="A999" s="11"/>
      <c r="B999" s="27"/>
      <c r="C999" s="11"/>
      <c r="D999" s="11"/>
      <c r="E999" s="11"/>
      <c r="F999" s="27"/>
      <c r="G999" s="27"/>
      <c r="H999" s="11"/>
      <c r="I999" s="11"/>
      <c r="J999" s="12"/>
      <c r="K999" s="12"/>
      <c r="L999" s="28" t="str">
        <f aca="false">IF(AND(ISNUMBER(J999),ISNUMBER(K999),N(J999)&gt;0),1-K999/J999,"")</f>
        <v/>
      </c>
      <c r="M999" s="29"/>
      <c r="N999" s="30"/>
      <c r="O999" s="30"/>
      <c r="P999" s="11"/>
      <c r="Q999" s="31"/>
      <c r="R999" s="11"/>
      <c r="S999" s="11"/>
      <c r="T999" s="11"/>
      <c r="U999" s="32" t="str">
        <f aca="false">IF((LEN(A999)+LEN(B999)+LEN(C999)+LEN(D999)+LEN(E999)+LEN(F999)+LEN(G999)+LEN(H999)+LEN(I999)+LEN(J999)+LEN(K999)+LEN(M999)+LEN(N999)+LEN(O999)+LEN(P999)+LEN(Q999)+LEN(R999)+LEN(S999)+LEN(T999))=0,"",IF(OR(A999="",B999="",C999="",D999="",E999="",J999="",K999="",N999=""),"⚠ Champ obligatoire manquant",IF(AND(ISNUMBER(K999),ISNUMBER(J999),N(K999)&gt;N(J999)),"⚠ Prix Autopiec &gt; prix public",IF(COUNTIFS($A$2:$A$1001,A999,$B$2:$B$1001,B999)&gt;1,"⚠ Référence en double","✔ OK"))))</f>
        <v/>
      </c>
    </row>
    <row r="1000" customFormat="false" ht="15" hidden="false" customHeight="false" outlineLevel="0" collapsed="false">
      <c r="A1000" s="11"/>
      <c r="B1000" s="27"/>
      <c r="C1000" s="11"/>
      <c r="D1000" s="11"/>
      <c r="E1000" s="11"/>
      <c r="F1000" s="27"/>
      <c r="G1000" s="27"/>
      <c r="H1000" s="11"/>
      <c r="I1000" s="11"/>
      <c r="J1000" s="12"/>
      <c r="K1000" s="12"/>
      <c r="L1000" s="28" t="str">
        <f aca="false">IF(AND(ISNUMBER(J1000),ISNUMBER(K1000),N(J1000)&gt;0),1-K1000/J1000,"")</f>
        <v/>
      </c>
      <c r="M1000" s="29"/>
      <c r="N1000" s="30"/>
      <c r="O1000" s="30"/>
      <c r="P1000" s="11"/>
      <c r="Q1000" s="31"/>
      <c r="R1000" s="11"/>
      <c r="S1000" s="11"/>
      <c r="T1000" s="11"/>
      <c r="U1000" s="32" t="str">
        <f aca="false">IF((LEN(A1000)+LEN(B1000)+LEN(C1000)+LEN(D1000)+LEN(E1000)+LEN(F1000)+LEN(G1000)+LEN(H1000)+LEN(I1000)+LEN(J1000)+LEN(K1000)+LEN(M1000)+LEN(N1000)+LEN(O1000)+LEN(P1000)+LEN(Q1000)+LEN(R1000)+LEN(S1000)+LEN(T1000))=0,"",IF(OR(A1000="",B1000="",C1000="",D1000="",E1000="",J1000="",K1000="",N1000=""),"⚠ Champ obligatoire manquant",IF(AND(ISNUMBER(K1000),ISNUMBER(J1000),N(K1000)&gt;N(J1000)),"⚠ Prix Autopiec &gt; prix public",IF(COUNTIFS($A$2:$A$1001,A1000,$B$2:$B$1001,B1000)&gt;1,"⚠ Référence en double","✔ OK"))))</f>
        <v/>
      </c>
    </row>
    <row r="1001" customFormat="false" ht="15" hidden="false" customHeight="false" outlineLevel="0" collapsed="false">
      <c r="A1001" s="11"/>
      <c r="B1001" s="27"/>
      <c r="C1001" s="11"/>
      <c r="D1001" s="11"/>
      <c r="E1001" s="11"/>
      <c r="F1001" s="27"/>
      <c r="G1001" s="27"/>
      <c r="H1001" s="11"/>
      <c r="I1001" s="11"/>
      <c r="J1001" s="12"/>
      <c r="K1001" s="12"/>
      <c r="L1001" s="28" t="str">
        <f aca="false">IF(AND(ISNUMBER(J1001),ISNUMBER(K1001),N(J1001)&gt;0),1-K1001/J1001,"")</f>
        <v/>
      </c>
      <c r="M1001" s="29"/>
      <c r="N1001" s="30"/>
      <c r="O1001" s="30"/>
      <c r="P1001" s="11"/>
      <c r="Q1001" s="31"/>
      <c r="R1001" s="11"/>
      <c r="S1001" s="11"/>
      <c r="T1001" s="11"/>
      <c r="U1001" s="32" t="str">
        <f aca="false">IF((LEN(A1001)+LEN(B1001)+LEN(C1001)+LEN(D1001)+LEN(E1001)+LEN(F1001)+LEN(G1001)+LEN(H1001)+LEN(I1001)+LEN(J1001)+LEN(K1001)+LEN(M1001)+LEN(N1001)+LEN(O1001)+LEN(P1001)+LEN(Q1001)+LEN(R1001)+LEN(S1001)+LEN(T1001))=0,"",IF(OR(A1001="",B1001="",C1001="",D1001="",E1001="",J1001="",K1001="",N1001=""),"⚠ Champ obligatoire manquant",IF(AND(ISNUMBER(K1001),ISNUMBER(J1001),N(K1001)&gt;N(J1001)),"⚠ Prix Autopiec &gt; prix public",IF(COUNTIFS($A$2:$A$1001,A1001,$B$2:$B$1001,B1001)&gt;1,"⚠ Référence en double","✔ OK"))))</f>
        <v/>
      </c>
    </row>
  </sheetData>
  <autoFilter ref="A1:U1001"/>
  <conditionalFormatting sqref="U2:U1001">
    <cfRule type="expression" priority="2" aboveAverage="0" equalAverage="0" bottom="0" percent="0" rank="0" text="" dxfId="0">
      <formula>LEFT(U2,1)="⚠"</formula>
    </cfRule>
    <cfRule type="expression" priority="3" aboveAverage="0" equalAverage="0" bottom="0" percent="0" rank="0" text="" dxfId="7">
      <formula>LEFT(U2,1)="✔"</formula>
    </cfRule>
  </conditionalFormatting>
  <conditionalFormatting sqref="A2:A1001">
    <cfRule type="expression" priority="4" aboveAverage="0" equalAverage="0" bottom="0" percent="0" rank="0" text="" dxfId="8">
      <formula>AND($U2&lt;&gt;"",A2="")</formula>
    </cfRule>
  </conditionalFormatting>
  <conditionalFormatting sqref="B2:B1001">
    <cfRule type="expression" priority="5" aboveAverage="0" equalAverage="0" bottom="0" percent="0" rank="0" text="" dxfId="8">
      <formula>AND($U2&lt;&gt;"",B2="")</formula>
    </cfRule>
  </conditionalFormatting>
  <conditionalFormatting sqref="C2:C1001">
    <cfRule type="expression" priority="6" aboveAverage="0" equalAverage="0" bottom="0" percent="0" rank="0" text="" dxfId="8">
      <formula>AND($U2&lt;&gt;"",C2="")</formula>
    </cfRule>
  </conditionalFormatting>
  <conditionalFormatting sqref="D2:D1001">
    <cfRule type="expression" priority="7" aboveAverage="0" equalAverage="0" bottom="0" percent="0" rank="0" text="" dxfId="8">
      <formula>AND($U2&lt;&gt;"",D2="")</formula>
    </cfRule>
  </conditionalFormatting>
  <conditionalFormatting sqref="E2:E1001">
    <cfRule type="expression" priority="8" aboveAverage="0" equalAverage="0" bottom="0" percent="0" rank="0" text="" dxfId="8">
      <formula>AND($U2&lt;&gt;"",E2="")</formula>
    </cfRule>
  </conditionalFormatting>
  <conditionalFormatting sqref="J2:J1001">
    <cfRule type="expression" priority="9" aboveAverage="0" equalAverage="0" bottom="0" percent="0" rank="0" text="" dxfId="8">
      <formula>AND($U2&lt;&gt;"",J2="")</formula>
    </cfRule>
  </conditionalFormatting>
  <conditionalFormatting sqref="K2:K1001">
    <cfRule type="expression" priority="10" aboveAverage="0" equalAverage="0" bottom="0" percent="0" rank="0" text="" dxfId="8">
      <formula>AND($U2&lt;&gt;"",K2="")</formula>
    </cfRule>
  </conditionalFormatting>
  <conditionalFormatting sqref="N2:N1001">
    <cfRule type="expression" priority="11" aboveAverage="0" equalAverage="0" bottom="0" percent="0" rank="0" text="" dxfId="8">
      <formula>AND($U2&lt;&gt;"",N2="")</formula>
    </cfRule>
  </conditionalFormatting>
  <dataValidations count="9">
    <dataValidation allowBlank="true" error="Cette marque n'est pas dans la liste. Cliquez sur Oui pour la conserver." errorStyle="warning" errorTitle="Marque hors liste" operator="between" showDropDown="false" showErrorMessage="true" showInputMessage="false" sqref="A2:A1001" type="list">
      <formula1>Listes!$A$2:$A$21</formula1>
      <formula2>0</formula2>
    </dataValidation>
    <dataValidation allowBlank="true" error="Choisissez une catégorie dans la liste." errorStyle="stop" operator="between" showDropDown="false" showErrorMessage="true" showInputMessage="false" sqref="D2:D1001" type="list">
      <formula1>Listes!$B$2:$B$19</formula1>
      <formula2>0</formula2>
    </dataValidation>
    <dataValidation allowBlank="true" error="Choisissez un état dans la liste." errorStyle="stop" operator="between" showDropDown="false" showErrorMessage="true" showInputMessage="false" sqref="E2:E1001" type="list">
      <formula1>Listes!$C$2:$C$4</formula1>
      <formula2>0</formula2>
    </dataValidation>
    <dataValidation allowBlank="true" error="Choisissez un taux dans la liste." errorStyle="stop" operator="between" showDropDown="false" showErrorMessage="true" showInputMessage="false" sqref="M2:M1001" type="list">
      <formula1>Listes!$D$2:$D$5</formula1>
      <formula2>0</formula2>
    </dataValidation>
    <dataValidation allowBlank="true" error="Unité hors liste." errorStyle="warning" operator="between" showDropDown="false" showErrorMessage="true" showInputMessage="false" sqref="I2:I1001" type="list">
      <formula1>Listes!$E$2:$E$7</formula1>
      <formula2>0</formula2>
    </dataValidation>
    <dataValidation allowBlank="true" error="Saisissez un nombre positif (sans le symbole €)." errorStyle="stop" operator="greaterThan" showDropDown="false" showErrorMessage="true" showInputMessage="false" sqref="J2:K1001 Q2:Q1001" type="decimal">
      <formula1>0</formula1>
      <formula2>0</formula2>
    </dataValidation>
    <dataValidation allowBlank="true" error="Saisissez un nombre entier ≥ 0." errorStyle="stop" operator="greaterThanOrEqual" showDropDown="false" showErrorMessage="true" showInputMessage="false" sqref="N2:N1001" type="whole">
      <formula1>0</formula1>
      <formula2>0</formula2>
    </dataValidation>
    <dataValidation allowBlank="true" error="Saisissez un nombre entier." errorStyle="stop" operator="between" showDropDown="false" showErrorMessage="true" showInputMessage="false" sqref="O2:P1001 R2:R1001" type="whole">
      <formula1>0</formula1>
      <formula2>9999</formula2>
    </dataValidation>
    <dataValidation allowBlank="true" error="Un code EAN-13 comporte 13 chiffres." errorStyle="warning" operator="equal" showDropDown="false" showErrorMessage="true" showInputMessage="false" sqref="G2:G1001" type="textLength">
      <formula1>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4"/>
  </cols>
  <sheetData>
    <row r="1" customFormat="false" ht="15" hidden="false" customHeight="false" outlineLevel="0" collapsed="false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G1" s="34" t="s">
        <v>75</v>
      </c>
    </row>
    <row r="2" customFormat="false" ht="15" hidden="false" customHeight="false" outlineLevel="0" collapsed="false">
      <c r="A2" s="6" t="s">
        <v>24</v>
      </c>
      <c r="B2" s="6" t="s">
        <v>27</v>
      </c>
      <c r="C2" s="6" t="s">
        <v>28</v>
      </c>
      <c r="D2" s="35" t="n">
        <v>0.2</v>
      </c>
      <c r="E2" s="6" t="s">
        <v>76</v>
      </c>
    </row>
    <row r="3" customFormat="false" ht="15" hidden="false" customHeight="false" outlineLevel="0" collapsed="false">
      <c r="A3" s="6" t="s">
        <v>77</v>
      </c>
      <c r="B3" s="6" t="s">
        <v>78</v>
      </c>
      <c r="C3" s="6" t="s">
        <v>79</v>
      </c>
      <c r="D3" s="35" t="n">
        <v>0.1</v>
      </c>
      <c r="E3" s="6" t="s">
        <v>80</v>
      </c>
    </row>
    <row r="4" customFormat="false" ht="15" hidden="false" customHeight="false" outlineLevel="0" collapsed="false">
      <c r="A4" s="6" t="s">
        <v>81</v>
      </c>
      <c r="B4" s="6" t="s">
        <v>82</v>
      </c>
      <c r="C4" s="6" t="s">
        <v>83</v>
      </c>
      <c r="D4" s="35" t="n">
        <v>0.055</v>
      </c>
      <c r="E4" s="6" t="s">
        <v>84</v>
      </c>
    </row>
    <row r="5" customFormat="false" ht="15" hidden="false" customHeight="false" outlineLevel="0" collapsed="false">
      <c r="A5" s="6" t="s">
        <v>85</v>
      </c>
      <c r="B5" s="6" t="s">
        <v>86</v>
      </c>
      <c r="D5" s="35" t="n">
        <v>0</v>
      </c>
      <c r="E5" s="6" t="s">
        <v>87</v>
      </c>
    </row>
    <row r="6" customFormat="false" ht="15" hidden="false" customHeight="false" outlineLevel="0" collapsed="false">
      <c r="A6" s="6" t="s">
        <v>88</v>
      </c>
      <c r="B6" s="6" t="s">
        <v>89</v>
      </c>
      <c r="E6" s="6" t="s">
        <v>90</v>
      </c>
    </row>
    <row r="7" customFormat="false" ht="15" hidden="false" customHeight="false" outlineLevel="0" collapsed="false">
      <c r="A7" s="6" t="s">
        <v>91</v>
      </c>
      <c r="B7" s="6" t="s">
        <v>92</v>
      </c>
      <c r="E7" s="6" t="s">
        <v>93</v>
      </c>
    </row>
    <row r="8" customFormat="false" ht="15" hidden="false" customHeight="false" outlineLevel="0" collapsed="false">
      <c r="A8" s="6" t="s">
        <v>94</v>
      </c>
      <c r="B8" s="6" t="s">
        <v>95</v>
      </c>
    </row>
    <row r="9" customFormat="false" ht="15" hidden="false" customHeight="false" outlineLevel="0" collapsed="false">
      <c r="A9" s="6" t="s">
        <v>96</v>
      </c>
      <c r="B9" s="6" t="s">
        <v>97</v>
      </c>
    </row>
    <row r="10" customFormat="false" ht="15" hidden="false" customHeight="false" outlineLevel="0" collapsed="false">
      <c r="A10" s="6" t="s">
        <v>98</v>
      </c>
      <c r="B10" s="6" t="s">
        <v>99</v>
      </c>
    </row>
    <row r="11" customFormat="false" ht="15" hidden="false" customHeight="false" outlineLevel="0" collapsed="false">
      <c r="A11" s="6" t="s">
        <v>100</v>
      </c>
      <c r="B11" s="6" t="s">
        <v>101</v>
      </c>
    </row>
    <row r="12" customFormat="false" ht="15" hidden="false" customHeight="false" outlineLevel="0" collapsed="false">
      <c r="A12" s="6" t="s">
        <v>102</v>
      </c>
      <c r="B12" s="6" t="s">
        <v>103</v>
      </c>
    </row>
    <row r="13" customFormat="false" ht="15" hidden="false" customHeight="false" outlineLevel="0" collapsed="false">
      <c r="A13" s="6" t="s">
        <v>104</v>
      </c>
      <c r="B13" s="6" t="s">
        <v>105</v>
      </c>
    </row>
    <row r="14" customFormat="false" ht="15" hidden="false" customHeight="false" outlineLevel="0" collapsed="false">
      <c r="A14" s="6" t="s">
        <v>106</v>
      </c>
      <c r="B14" s="6" t="s">
        <v>107</v>
      </c>
    </row>
    <row r="15" customFormat="false" ht="15" hidden="false" customHeight="false" outlineLevel="0" collapsed="false">
      <c r="A15" s="6" t="s">
        <v>108</v>
      </c>
      <c r="B15" s="6" t="s">
        <v>109</v>
      </c>
    </row>
    <row r="16" customFormat="false" ht="15" hidden="false" customHeight="false" outlineLevel="0" collapsed="false">
      <c r="A16" s="6" t="s">
        <v>110</v>
      </c>
      <c r="B16" s="6" t="s">
        <v>111</v>
      </c>
    </row>
    <row r="17" customFormat="false" ht="15" hidden="false" customHeight="false" outlineLevel="0" collapsed="false">
      <c r="A17" s="6" t="s">
        <v>112</v>
      </c>
      <c r="B17" s="6" t="s">
        <v>113</v>
      </c>
    </row>
    <row r="18" customFormat="false" ht="15" hidden="false" customHeight="false" outlineLevel="0" collapsed="false">
      <c r="A18" s="6" t="s">
        <v>114</v>
      </c>
      <c r="B18" s="6" t="s">
        <v>115</v>
      </c>
    </row>
    <row r="19" customFormat="false" ht="15" hidden="false" customHeight="false" outlineLevel="0" collapsed="false">
      <c r="A19" s="6" t="s">
        <v>116</v>
      </c>
      <c r="B19" s="6" t="s">
        <v>117</v>
      </c>
    </row>
    <row r="20" customFormat="false" ht="15" hidden="false" customHeight="false" outlineLevel="0" collapsed="false">
      <c r="A20" s="6" t="s">
        <v>118</v>
      </c>
    </row>
    <row r="21" customFormat="false" ht="15" hidden="false" customHeight="false" outlineLevel="0" collapsed="false">
      <c r="A21" s="6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2026-10-27T15:53:47Z</dcterms:created>
  <dc:creator>openpyxl</dc:creator>
  <dc:description/>
  <dc:language>en-US</dc:language>
  <cp:lastModifiedBy/>
  <dcterms:modified xsi:type="dcterms:W3CDTF">2026-10-27T15:53:48Z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